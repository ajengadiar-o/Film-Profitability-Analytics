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llywoodsMostProfitableStories" sheetId="1" r:id="rId5"/>
    <sheet state="visible" name="Framework" sheetId="2" r:id="rId6"/>
    <sheet state="visible" name="Dashboard" sheetId="3" r:id="rId7"/>
  </sheets>
  <definedNames>
    <definedName hidden="1" localSheetId="0" name="Z_65C11FAF_CCDF_43DD_9216_AFA8411E58DC_.wvu.FilterData">HollywoodsMostProfitableStories!$A$1:$I$75</definedName>
    <definedName name="SlicerCache_Table_1_Col_9">#N/A</definedName>
  </definedNames>
  <calcPr/>
  <customWorkbookViews>
    <customWorkbookView activeSheetId="0" maximized="1" windowHeight="0" windowWidth="0" guid="{65C11FAF-CCDF-43DD-9216-AFA8411E58DC}" name="Filter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<sst xmlns="http://schemas.openxmlformats.org/spreadsheetml/2006/main" count="311" uniqueCount="144">
  <si>
    <t xml:space="preserve">Objective </t>
  </si>
  <si>
    <t>Montoring pola profitabilitas film, untuk mengetahui jenis film apa yang paling menguntungkan dan faktor - faktor apa saja yang mempengaruhi tingkat keuntungan film tersebut, dan apa saja hal yang perlu di evaluasi</t>
  </si>
  <si>
    <t>Audience</t>
  </si>
  <si>
    <t>Marketing and Business Development Team</t>
  </si>
  <si>
    <t>Business Question</t>
  </si>
  <si>
    <t>1. Berapa besar total keuntungan film di periode yang ditentukan?</t>
  </si>
  <si>
    <t>2. Genre film apa yang paling menguntungkan untuk saat ini?</t>
  </si>
  <si>
    <t>3. Studio mana yang memberikan performa keuntungan terbaik?</t>
  </si>
  <si>
    <t>4. Apakah jumlah rating yang diberikan penonton berbanding lurus dengan profit film?</t>
  </si>
  <si>
    <t>5. Bagaimanakah perkembangan profitabilitas film dari tahun ke tahun?</t>
  </si>
  <si>
    <t>Film</t>
  </si>
  <si>
    <t>Genre</t>
  </si>
  <si>
    <t>Lead Studio</t>
  </si>
  <si>
    <t>Audience  score %</t>
  </si>
  <si>
    <t>Audience Score group</t>
  </si>
  <si>
    <t>Profitability</t>
  </si>
  <si>
    <t>Rotten Tomatoes %</t>
  </si>
  <si>
    <t>Worldwide Gross</t>
  </si>
  <si>
    <t>Year</t>
  </si>
  <si>
    <t>27 Dresses</t>
  </si>
  <si>
    <t>Comedy</t>
  </si>
  <si>
    <t>Fox</t>
  </si>
  <si>
    <t>(500) Days of Summer</t>
  </si>
  <si>
    <t>A Dangerous Method</t>
  </si>
  <si>
    <t>Drama</t>
  </si>
  <si>
    <t>Independent</t>
  </si>
  <si>
    <t>A Serious Man</t>
  </si>
  <si>
    <t>Universal</t>
  </si>
  <si>
    <t>Across the Universe</t>
  </si>
  <si>
    <t>Romance</t>
  </si>
  <si>
    <t>Beginners</t>
  </si>
  <si>
    <t>Dear John</t>
  </si>
  <si>
    <t>Sony</t>
  </si>
  <si>
    <t>Enchanted</t>
  </si>
  <si>
    <t>Disney</t>
  </si>
  <si>
    <t>Fireproof</t>
  </si>
  <si>
    <t>Four Christmases</t>
  </si>
  <si>
    <t>Warner Bros.</t>
  </si>
  <si>
    <t>Ghosts of Girlfriends Past</t>
  </si>
  <si>
    <t>Gnomeo and Juliet</t>
  </si>
  <si>
    <t>Animation</t>
  </si>
  <si>
    <t>Going the Distance</t>
  </si>
  <si>
    <t>Good Luck Chuck</t>
  </si>
  <si>
    <t>Lionsgate</t>
  </si>
  <si>
    <t>He's Just Not That Into You</t>
  </si>
  <si>
    <t>High School Musical 3: Senior Year</t>
  </si>
  <si>
    <t>I Love You Phillip Morris</t>
  </si>
  <si>
    <t>It's Complicated</t>
  </si>
  <si>
    <t>Jane Eyre</t>
  </si>
  <si>
    <t>Just Wright</t>
  </si>
  <si>
    <t>Killers</t>
  </si>
  <si>
    <t>Action</t>
  </si>
  <si>
    <t>Knocked Up</t>
  </si>
  <si>
    <t>Leap Year</t>
  </si>
  <si>
    <t>Letters to Juliet</t>
  </si>
  <si>
    <t>Summit</t>
  </si>
  <si>
    <t>License to Wed</t>
  </si>
  <si>
    <t>Life as We Know It</t>
  </si>
  <si>
    <t>Love &amp; Other Drugs</t>
  </si>
  <si>
    <t>Love Happens</t>
  </si>
  <si>
    <t>Made of Honor</t>
  </si>
  <si>
    <t>Mamma Mia!</t>
  </si>
  <si>
    <t>Marley and Me</t>
  </si>
  <si>
    <t>Midnight in Paris</t>
  </si>
  <si>
    <t>Miss Pettigrew Lives for a Day</t>
  </si>
  <si>
    <t>Monte Carlo</t>
  </si>
  <si>
    <t>20th Century Fox</t>
  </si>
  <si>
    <t>Music and Lyrics</t>
  </si>
  <si>
    <t>My Week with Marilyn</t>
  </si>
  <si>
    <t>The Weinstein Company</t>
  </si>
  <si>
    <t>New Year's Eve</t>
  </si>
  <si>
    <t>Nick and Norah's Infinite Playlist</t>
  </si>
  <si>
    <t>No Reservations</t>
  </si>
  <si>
    <t>Undefined</t>
  </si>
  <si>
    <t>Not Easily Broken</t>
  </si>
  <si>
    <t>One Day</t>
  </si>
  <si>
    <t>Our Family Wedding</t>
  </si>
  <si>
    <t>Over Her Dead Body</t>
  </si>
  <si>
    <t>New Line</t>
  </si>
  <si>
    <t>P.S. I Love You</t>
  </si>
  <si>
    <t>Penelope</t>
  </si>
  <si>
    <t>Rachel Getting Married</t>
  </si>
  <si>
    <t>Remember Me</t>
  </si>
  <si>
    <t>Sex and the City</t>
  </si>
  <si>
    <t>Sex and the City 2</t>
  </si>
  <si>
    <t>She's Out of My League</t>
  </si>
  <si>
    <t>Paramount</t>
  </si>
  <si>
    <t>Something Borrowed</t>
  </si>
  <si>
    <t>Tangled</t>
  </si>
  <si>
    <t>The Back-up Plan</t>
  </si>
  <si>
    <t>CBS</t>
  </si>
  <si>
    <t>The Curious Case of Benjamin Button</t>
  </si>
  <si>
    <t>Fantasy</t>
  </si>
  <si>
    <t>The Duchess</t>
  </si>
  <si>
    <t>The Heartbreak Kid</t>
  </si>
  <si>
    <t>The Invention of Lying</t>
  </si>
  <si>
    <t>The Proposal</t>
  </si>
  <si>
    <t>The Time Traveler's Wife</t>
  </si>
  <si>
    <t>The Twilight Saga: New Moon</t>
  </si>
  <si>
    <t>The Ugly Truth</t>
  </si>
  <si>
    <t>Twilight</t>
  </si>
  <si>
    <t>Twilight: Breaking Dawn</t>
  </si>
  <si>
    <t>Tyler Perry's Why Did I get Married</t>
  </si>
  <si>
    <t>Valentine's Day</t>
  </si>
  <si>
    <t>Waiting For Forever</t>
  </si>
  <si>
    <t>Waitress</t>
  </si>
  <si>
    <t>WALL-E</t>
  </si>
  <si>
    <t>Water For Elephants</t>
  </si>
  <si>
    <t>What Happens in Vegas</t>
  </si>
  <si>
    <t>When in Rome</t>
  </si>
  <si>
    <t>You Will Meet a Tall Dark Stranger</t>
  </si>
  <si>
    <t>Youth in Revolt</t>
  </si>
  <si>
    <t>Zack and Miri Make a Porno</t>
  </si>
  <si>
    <t>Dashboard Profitability Analytics</t>
  </si>
  <si>
    <t>Profit</t>
  </si>
  <si>
    <t>FILM</t>
  </si>
  <si>
    <t>Count Of Years</t>
  </si>
  <si>
    <t>Tabel 2. Profit by Genre</t>
  </si>
  <si>
    <t>Tabel 3. Profit by Studio</t>
  </si>
  <si>
    <t>Studio</t>
  </si>
  <si>
    <t>Proft</t>
  </si>
  <si>
    <t>Tabel 4. Profit by Rating Audience</t>
  </si>
  <si>
    <t xml:space="preserve">Audience Score </t>
  </si>
  <si>
    <t>Rendah</t>
  </si>
  <si>
    <t>Sedang</t>
  </si>
  <si>
    <t>Tinggi</t>
  </si>
  <si>
    <t>Grand Total</t>
  </si>
  <si>
    <t>Tabel 5. Trend Profit</t>
  </si>
  <si>
    <t>Detail Performance</t>
  </si>
  <si>
    <t>SUM of Profitability</t>
  </si>
  <si>
    <t>Growth</t>
  </si>
  <si>
    <t>Trendline</t>
  </si>
  <si>
    <t>Insight</t>
  </si>
  <si>
    <t>1.  Pada periode tahun yang dipilih, film - film yang ada di dalam dataset menunjukan total keuntungan yang signifikan, yang bisa di artikan bahwa secara keseluruhan industri pada tahun yang dipilih masih memberikan kontribusi finansial yang positif (Contoh pada periode 5 tahun profit yang diberikan sebesar 336.654)</t>
  </si>
  <si>
    <t>2.  Untuk genre Romance, Comedy, dan Drama terlihat memberikan kontribusi keutungan yang lebih besar di bandingkan jenis genre lainya (Contoh Pada 5 tahun periode Romance sebanyak 20,3%, Comedy 55,4%, dan Drama 17,6%)</t>
  </si>
  <si>
    <t>3.  Pada bagian studio dapat dilihat bawah ada beberapa studio yang memberikan kontribusi yang besar dalam keuntungan film (Contohnya dalam periode 5 tahun ini studio independent menyumbang sebanyak 35.00% ) dan ada juga beberapa studio yang memeberikan keuntungan yang kecil (contoh nya CBS, New Line dan Undifined sebanyak 5.00%)</t>
  </si>
  <si>
    <t>4. Pada diagram keuntungan berdasarkan rating penonton, menunjukan bahwa perolehan rating yang tinggi selalu bersamaan dengan keuuntungan yang tinggi</t>
  </si>
  <si>
    <t>5. Pada diagram tren linemenunjukan bahwa pada tahun 2008 film mengalami kenaikan, kemudian di tahun 2009 mengalami penurunan keuntungan, dan pada tahun - tahun selanjutnya cenderung menunjukan garis yang stabil tanpa ada perubahan yang signifikan</t>
  </si>
  <si>
    <t>Rekomendasi</t>
  </si>
  <si>
    <t>1. Dilihat dari diagram yang ada, perlu dilakukan evaluasi pada genre yang memberikan kontribusi profit rendah untuk menilai keefektivitasan biaya dan strategi pemasaran nya</t>
  </si>
  <si>
    <t>2. Strategi pemasaran yang akan diterapkan, sebaiknya dapat difokuskan pada genre yang menunjukan profit yang tinggi</t>
  </si>
  <si>
    <t>3. Pada studio yang memiliki jumlah film yaang banyak, namun menghasilkan profit yang rendah, perlu dilakukan evaluasi dari kualitas dan juga strategi pemasaran nya</t>
  </si>
  <si>
    <t>4. Rating Penonton itu tidak bisa dijadikan satu satunya indikator dari keberhasilan film yang dibuat</t>
  </si>
  <si>
    <t>5. Melihat faktor keberhasilan pada tahun yang memiliki profit yang tinggi, perlu dilakukan analisis yang mendalam, agar apa strategi yang dilakukan ditahun itu bisa diterapkan ditahun yang lain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</si>
</sst>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quot;$&quot;#,##0.00"/>
  </numFmts>
  <fonts count="8">
    <font>
      <sz val="10.0"/>
      <color rgb="FF000000"/>
      <name val="Arial"/>
      <scheme val="minor"/>
    </font>
    <font>
      <b/>
      <sz val="14.0"/>
      <color theme="1"/>
      <name val="Arial"/>
      <scheme val="minor"/>
    </font>
    <font>
      <sz val="11.0"/>
      <color theme="1"/>
      <name val="Times New Roman"/>
    </font>
    <font>
      <color theme="1"/>
      <name val="Arial"/>
      <scheme val="minor"/>
    </font>
    <font/>
    <font>
      <b/>
      <sz val="14.0"/>
      <color theme="1"/>
      <name val="Arial"/>
    </font>
    <font>
      <b/>
      <color theme="1"/>
      <name val="Arial"/>
    </font>
    <font>
      <b/>
      <color theme="1"/>
      <name val="Arial"/>
      <scheme val="minor"/>
    </font>
  </fonts>
  <fills count="8">
    <fill>
      <patternFill patternType="none"/>
    </fill>
    <fill>
      <patternFill patternType="lightGray"/>
    </fill>
    <fill>
      <patternFill patternType="solid">
        <fgColor rgb="FFF4CCCC"/>
        <bgColor rgb="FFF4CCCC"/>
      </patternFill>
    </fill>
    <fill>
      <patternFill patternType="solid">
        <fgColor rgb="FF6D9EEB"/>
        <bgColor rgb="FF6D9EEB"/>
      </patternFill>
    </fill>
    <fill>
      <patternFill patternType="solid">
        <fgColor theme="0"/>
        <bgColor theme="0"/>
      </patternFill>
    </fill>
    <fill>
      <patternFill patternType="solid">
        <fgColor rgb="FF9FC5E8"/>
        <bgColor rgb="FF9FC5E8"/>
      </patternFill>
    </fill>
    <fill>
      <patternFill patternType="solid">
        <fgColor rgb="FFDFE4EC"/>
        <bgColor rgb="FFDFE4EC"/>
      </patternFill>
    </fill>
    <fill>
      <patternFill patternType="solid">
        <fgColor rgb="FF8093B3"/>
        <bgColor rgb="FF8093B3"/>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readingOrder="0" vertical="center"/>
    </xf>
    <xf borderId="1" fillId="0" fontId="2" numFmtId="0" xfId="0" applyAlignment="1" applyBorder="1" applyFont="1">
      <alignment horizontal="left" readingOrder="0" shrinkToFit="0" vertical="center" wrapText="1"/>
    </xf>
    <xf borderId="1" fillId="0" fontId="3" numFmtId="0" xfId="0" applyAlignment="1" applyBorder="1" applyFont="1">
      <alignment readingOrder="0"/>
    </xf>
    <xf borderId="2" fillId="2" fontId="1" numFmtId="0" xfId="0" applyAlignment="1" applyBorder="1" applyFill="1" applyFont="1">
      <alignment readingOrder="0" vertical="center"/>
    </xf>
    <xf borderId="3" fillId="0" fontId="4" numFmtId="0" xfId="0" applyBorder="1" applyFont="1"/>
    <xf borderId="4" fillId="0" fontId="4" numFmtId="0" xfId="0" applyBorder="1" applyFont="1"/>
    <xf borderId="0" fillId="0" fontId="3" numFmtId="0" xfId="0" applyAlignment="1" applyFont="1">
      <alignment readingOrder="0"/>
    </xf>
    <xf borderId="5" fillId="3" fontId="5" numFmtId="4" xfId="0" applyAlignment="1" applyBorder="1" applyFill="1" applyFont="1" applyNumberFormat="1">
      <alignment horizontal="center" vertical="center"/>
    </xf>
    <xf borderId="6" fillId="0" fontId="4" numFmtId="0" xfId="0" applyBorder="1" applyFont="1"/>
    <xf borderId="7" fillId="0" fontId="4" numFmtId="0" xfId="0" applyBorder="1" applyFont="1"/>
    <xf borderId="0" fillId="4" fontId="5" numFmtId="4" xfId="0" applyAlignment="1" applyFill="1" applyFont="1" applyNumberFormat="1">
      <alignment horizontal="center" vertical="center"/>
    </xf>
    <xf borderId="0" fillId="4" fontId="6" numFmtId="4" xfId="0" applyAlignment="1" applyFill="1" applyFont="1" applyNumberFormat="1">
      <alignment horizontal="center"/>
    </xf>
    <xf borderId="8" fillId="0" fontId="4" numFmtId="0" xfId="0" applyBorder="1" applyFont="1"/>
    <xf borderId="9" fillId="0" fontId="4" numFmtId="0" xfId="0" applyBorder="1" applyFont="1"/>
    <xf borderId="10" fillId="0" fontId="4" numFmtId="0" xfId="0" applyBorder="1" applyFont="1"/>
    <xf borderId="5" fillId="5" fontId="3" numFmtId="4" xfId="0" applyBorder="1" applyFill="1" applyFont="1" applyNumberFormat="1"/>
    <xf borderId="0" fillId="4" fontId="3" numFmtId="4" xfId="0" applyFill="1" applyFont="1" applyNumberFormat="1"/>
    <xf borderId="0" fillId="0" fontId="3" numFmtId="4" xfId="0" applyFont="1" applyNumberFormat="1"/>
    <xf borderId="0" fillId="0" fontId="3" numFmtId="0" xfId="0" applyFont="1"/>
    <xf borderId="11" fillId="0" fontId="4" numFmtId="0" xfId="0" applyBorder="1" applyFont="1"/>
    <xf borderId="12" fillId="0" fontId="4" numFmtId="0" xfId="0" applyBorder="1" applyFont="1"/>
    <xf borderId="0" fillId="0" fontId="3" numFmtId="164" xfId="0" applyFont="1" applyNumberFormat="1"/>
    <xf borderId="0" fillId="0" fontId="3" numFmtId="3" xfId="0" applyFont="1" applyNumberFormat="1"/>
    <xf borderId="0" fillId="0" fontId="3" numFmtId="0" xfId="0" applyFont="1"/>
    <xf borderId="0" fillId="0" fontId="3" numFmtId="10" xfId="0" applyFont="1" applyNumberFormat="1"/>
    <xf borderId="0" fillId="0" fontId="7" numFmtId="0" xfId="0" applyAlignment="1" applyFont="1">
      <alignment readingOrder="0"/>
    </xf>
    <xf borderId="5" fillId="5" fontId="3" numFmtId="0" xfId="0" applyBorder="1" applyFill="1" applyFont="1"/>
    <xf borderId="0" fillId="4" fontId="3" numFmtId="0" xfId="0" applyFill="1" applyFont="1"/>
    <xf borderId="0" fillId="0" fontId="3" numFmtId="165" xfId="0" applyFont="1" applyNumberFormat="1"/>
    <xf borderId="0" fillId="0" fontId="3" numFmtId="166" xfId="0" applyFont="1" applyNumberFormat="1"/>
    <xf borderId="5" fillId="3" fontId="5" numFmtId="4" xfId="0" applyAlignment="1" applyBorder="1" applyFill="1" applyFont="1" applyNumberFormat="1">
      <alignment horizontal="center" readingOrder="0" vertical="center"/>
    </xf>
    <xf borderId="1" fillId="0" fontId="3" numFmtId="0" xfId="0" applyBorder="1" applyFont="1"/>
    <xf borderId="1" fillId="6" fontId="3" numFmtId="0" xfId="0" applyBorder="1" applyFill="1" applyFont="1"/>
    <xf borderId="1" fillId="7" fontId="3" numFmtId="0" xfId="0" applyAlignment="1" applyBorder="1" applyFill="1" applyFont="1">
      <alignment horizontal="center" readingOrder="0"/>
    </xf>
    <xf borderId="1" fillId="7" fontId="3" numFmtId="0" xfId="0" applyAlignment="1" applyBorder="1" applyFill="1" applyFont="1">
      <alignment readingOrder="0"/>
    </xf>
    <xf borderId="1" fillId="0" fontId="3" numFmtId="164" xfId="0" applyBorder="1" applyFont="1" applyNumberFormat="1"/>
    <xf borderId="1" fillId="0" fontId="3" numFmtId="10" xfId="0" applyBorder="1" applyFont="1" applyNumberFormat="1"/>
    <xf borderId="13" fillId="5" fontId="3" numFmtId="0" xfId="0" applyAlignment="1" applyBorder="1" applyFill="1" applyFont="1">
      <alignment readingOrder="0" shrinkToFit="0" wrapText="1"/>
    </xf>
    <xf borderId="14" fillId="0" fontId="4" numFmtId="0" xfId="0" applyBorder="1" applyFont="1"/>
    <xf borderId="15" fillId="0" fontId="4" numFmtId="0" xfId="0" applyBorder="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Profit by Genre</a:t>
            </a:r>
          </a:p>
        </c:rich>
      </c:tx>
      <c:overlay val="0"/>
    </c:title>
    <c:plotArea>
      <c:layout/>
      <c:pieChart>
        <c:varyColors val="1"/>
        <c:ser>
          <c:idx val="0"/>
          <c:order val="0"/>
          <c:tx>
            <c:strRef>
              <c:f>Dashboard!$K$8</c:f>
            </c:strRef>
          </c:tx>
          <c:dPt>
            <c:idx val="0"/>
            <c:explosion val="0"/>
            <c:spPr>
              <a:solidFill>
                <a:srgbClr val="F4CCCC"/>
              </a:solidFill>
            </c:spPr>
          </c:dPt>
          <c:dPt>
            <c:idx val="1"/>
            <c:spPr>
              <a:solidFill>
                <a:srgbClr val="6D9EEB"/>
              </a:solidFill>
            </c:spPr>
          </c:dPt>
          <c:dPt>
            <c:idx val="2"/>
            <c:spPr>
              <a:solidFill>
                <a:srgbClr val="EA9999"/>
              </a:solidFill>
            </c:spPr>
          </c:dPt>
          <c:dPt>
            <c:idx val="3"/>
            <c:spPr>
              <a:solidFill>
                <a:srgbClr val="3C78D8"/>
              </a:solidFill>
            </c:spPr>
          </c:dPt>
          <c:dPt>
            <c:idx val="4"/>
            <c:spPr>
              <a:solidFill>
                <a:srgbClr val="E06666"/>
              </a:solidFill>
            </c:spPr>
          </c:dPt>
          <c:dPt>
            <c:idx val="5"/>
            <c:spPr>
              <a:solidFill>
                <a:srgbClr val="76A5AF"/>
              </a:solidFill>
            </c:spPr>
          </c:dPt>
          <c:dPt>
            <c:idx val="6"/>
          </c:dPt>
          <c:dLbls>
            <c:showLegendKey val="0"/>
            <c:showVal val="0"/>
            <c:showCatName val="0"/>
            <c:showSerName val="0"/>
            <c:showPercent val="0"/>
            <c:showBubbleSize val="0"/>
            <c:showLeaderLines val="1"/>
          </c:dLbls>
          <c:cat>
            <c:strRef>
              <c:f>Dashboard!$J$9:$J$15</c:f>
            </c:strRef>
          </c:cat>
          <c:val>
            <c:numRef>
              <c:f>Dashboard!$K$9:$K$15</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000000"/>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Profit by Studio</a:t>
            </a:r>
          </a:p>
        </c:rich>
      </c:tx>
      <c:overlay val="0"/>
    </c:title>
    <c:plotArea>
      <c:layout/>
      <c:barChart>
        <c:barDir val="col"/>
        <c:varyColors val="0"/>
        <c:ser>
          <c:idx val="0"/>
          <c:order val="0"/>
          <c:tx>
            <c:strRef>
              <c:f>Dashboard!$K$17:$K$18</c:f>
            </c:strRef>
          </c:tx>
          <c:spPr>
            <a:solidFill>
              <a:srgbClr val="E06666"/>
            </a:solidFill>
            <a:ln cmpd="sng">
              <a:noFill/>
              <a:prstDash val="solid"/>
            </a:ln>
          </c:spPr>
          <c:invertIfNegative val="0"/>
          <c:cat>
            <c:strRef>
              <c:f>Dashboard!$J$19:$J$32</c:f>
            </c:strRef>
          </c:cat>
          <c:val>
            <c:numRef>
              <c:f>Dashboard!$K$19:$K$32</c:f>
              <c:numCache/>
            </c:numRef>
          </c:val>
        </c:ser>
        <c:axId val="58332563"/>
        <c:axId val="677753111"/>
      </c:barChart>
      <c:catAx>
        <c:axId val="583325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Studio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77753111"/>
      </c:catAx>
      <c:valAx>
        <c:axId val="6777531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58332563"/>
      </c:valAx>
      <c:lineChart>
        <c:varyColors val="0"/>
        <c:ser>
          <c:idx val="1"/>
          <c:order val="1"/>
          <c:tx>
            <c:strRef>
              <c:f>Dashboard!$L$17:$L$18</c:f>
            </c:strRef>
          </c:tx>
          <c:spPr>
            <a:ln cmpd="sng">
              <a:solidFill>
                <a:schemeClr val="accent1"/>
              </a:solidFill>
            </a:ln>
          </c:spPr>
          <c:marker>
            <c:symbol val="none"/>
          </c:marker>
          <c:cat>
            <c:strRef>
              <c:f>Dashboard!$J$19:$J$32</c:f>
            </c:strRef>
          </c:cat>
          <c:val>
            <c:numRef>
              <c:f>Dashboard!$L$19:$L$32</c:f>
              <c:numCache/>
            </c:numRef>
          </c:val>
          <c:smooth val="0"/>
        </c:ser>
        <c:axId val="1647288945"/>
        <c:axId val="362314370"/>
      </c:lineChart>
      <c:catAx>
        <c:axId val="1647288945"/>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362314370"/>
      </c:catAx>
      <c:valAx>
        <c:axId val="362314370"/>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47288945"/>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Profit by Rating Audience</a:t>
            </a:r>
          </a:p>
        </c:rich>
      </c:tx>
      <c:overlay val="0"/>
    </c:title>
    <c:plotArea>
      <c:layout/>
      <c:barChart>
        <c:barDir val="bar"/>
        <c:ser>
          <c:idx val="0"/>
          <c:order val="0"/>
          <c:tx>
            <c:strRef>
              <c:f>Dashboard!$K$36</c:f>
            </c:strRef>
          </c:tx>
          <c:spPr>
            <a:solidFill>
              <a:srgbClr val="6D9EEB"/>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Dashboard!$J$37:$J$40</c:f>
            </c:strRef>
          </c:cat>
          <c:val>
            <c:numRef>
              <c:f>Dashboard!$K$37:$K$40</c:f>
              <c:numCache/>
            </c:numRef>
          </c:val>
        </c:ser>
        <c:ser>
          <c:idx val="1"/>
          <c:order val="1"/>
          <c:tx>
            <c:strRef>
              <c:f>Dashboard!$L$36</c:f>
            </c:strRef>
          </c:tx>
          <c:spPr>
            <a:solidFill>
              <a:srgbClr val="EA9999"/>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Dashboard!$J$37:$J$40</c:f>
            </c:strRef>
          </c:cat>
          <c:val>
            <c:numRef>
              <c:f>Dashboard!$L$37:$L$40</c:f>
              <c:numCache/>
            </c:numRef>
          </c:val>
        </c:ser>
        <c:axId val="1238102960"/>
        <c:axId val="1904354804"/>
      </c:barChart>
      <c:catAx>
        <c:axId val="123810296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Audience Score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04354804"/>
      </c:catAx>
      <c:valAx>
        <c:axId val="190435480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38102960"/>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Trend Line</a:t>
            </a:r>
          </a:p>
        </c:rich>
      </c:tx>
      <c:overlay val="0"/>
    </c:title>
    <c:plotArea>
      <c:layout/>
      <c:lineChart>
        <c:ser>
          <c:idx val="0"/>
          <c:order val="0"/>
          <c:tx>
            <c:strRef>
              <c:f>Dashboard!$K$43</c:f>
            </c:strRef>
          </c:tx>
          <c:spPr>
            <a:ln cmpd="sng">
              <a:solidFill>
                <a:srgbClr val="E06666">
                  <a:alpha val="100000"/>
                </a:srgbClr>
              </a:solidFill>
            </a:ln>
          </c:spPr>
          <c:marker>
            <c:symbol val="none"/>
          </c:marker>
          <c:cat>
            <c:strRef>
              <c:f>Dashboard!$J$44:$J$49</c:f>
            </c:strRef>
          </c:cat>
          <c:val>
            <c:numRef>
              <c:f>Dashboard!$K$44:$K$49</c:f>
              <c:numCache/>
            </c:numRef>
          </c:val>
          <c:smooth val="0"/>
        </c:ser>
        <c:ser>
          <c:idx val="1"/>
          <c:order val="1"/>
          <c:tx>
            <c:strRef>
              <c:f>Dashboard!$L$43</c:f>
            </c:strRef>
          </c:tx>
          <c:spPr>
            <a:ln cmpd="sng">
              <a:solidFill>
                <a:srgbClr val="6D9EEB">
                  <a:alpha val="100000"/>
                </a:srgbClr>
              </a:solidFill>
            </a:ln>
          </c:spPr>
          <c:marker>
            <c:symbol val="none"/>
          </c:marker>
          <c:cat>
            <c:strRef>
              <c:f>Dashboard!$J$44:$J$49</c:f>
            </c:strRef>
          </c:cat>
          <c:val>
            <c:numRef>
              <c:f>Dashboard!$L$44:$L$49</c:f>
              <c:numCache/>
            </c:numRef>
          </c:val>
          <c:smooth val="0"/>
        </c:ser>
        <c:axId val="687328766"/>
        <c:axId val="332208914"/>
      </c:lineChart>
      <c:catAx>
        <c:axId val="6873287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32208914"/>
      </c:catAx>
      <c:valAx>
        <c:axId val="3322089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87328766"/>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chart" Target="../charts/chart1.xml"/><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 Id="rId7" Type="http://schemas.openxmlformats.org/officeDocument/2006/relationships/image" Target="../media/Chart7.png"/><Relationship Id="rId8" Type="http://schemas.openxmlformats.org/officeDocument/2006/relationships/image" Target="../media/Chart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1143000</xdr:colOff>
      <xdr:row>2</xdr:row>
      <xdr:rowOff>152400</xdr:rowOff>
    </xdr:from>
    <xdr:ext cx="3400425" cy="638175"/>
    <xdr:pic>
      <xdr:nvPicPr>
        <xdr:cNvPr id="1751873172" name="Chart1" title="Diagra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1047750</xdr:colOff>
      <xdr:row>2</xdr:row>
      <xdr:rowOff>152400</xdr:rowOff>
    </xdr:from>
    <xdr:ext cx="2266950" cy="638175"/>
    <xdr:pic>
      <xdr:nvPicPr>
        <xdr:cNvPr id="265617962" name="Chart2" title="Diagram">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47625</xdr:colOff>
      <xdr:row>7</xdr:row>
      <xdr:rowOff>104775</xdr:rowOff>
    </xdr:from>
    <xdr:ext cx="6391275" cy="3562350"/>
    <xdr:graphicFrame>
      <xdr:nvGraphicFramePr>
        <xdr:cNvPr id="3" name="Chart 3" title="Diagram"/>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1047750</xdr:colOff>
      <xdr:row>7</xdr:row>
      <xdr:rowOff>133350</xdr:rowOff>
    </xdr:from>
    <xdr:ext cx="5629275" cy="3533775"/>
    <xdr:graphicFrame>
      <xdr:nvGraphicFramePr>
        <xdr:cNvPr id="4" name="Chart 4" title="Diagram"/>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47625</xdr:colOff>
      <xdr:row>26</xdr:row>
      <xdr:rowOff>28575</xdr:rowOff>
    </xdr:from>
    <xdr:ext cx="6391275" cy="3562350"/>
    <xdr:graphicFrame>
      <xdr:nvGraphicFramePr>
        <xdr:cNvPr id="5" name="Chart 5" title="Diagram"/>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4</xdr:col>
      <xdr:colOff>1047750</xdr:colOff>
      <xdr:row>26</xdr:row>
      <xdr:rowOff>47625</xdr:rowOff>
    </xdr:from>
    <xdr:ext cx="5629275" cy="3562350"/>
    <xdr:graphicFrame>
      <xdr:nvGraphicFramePr>
        <xdr:cNvPr id="6" name="Chart 6" title="Diagram"/>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6</xdr:col>
      <xdr:colOff>1047750</xdr:colOff>
      <xdr:row>2</xdr:row>
      <xdr:rowOff>152400</xdr:rowOff>
    </xdr:from>
    <xdr:ext cx="2571750" cy="638175"/>
    <xdr:pic>
      <xdr:nvPicPr>
        <xdr:cNvPr id="695368635" name="Chart7" title="Diagram">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28575</xdr:colOff>
      <xdr:row>2</xdr:row>
      <xdr:rowOff>152400</xdr:rowOff>
    </xdr:from>
    <xdr:ext cx="2695575" cy="638175"/>
    <xdr:pic>
      <xdr:nvPicPr>
        <xdr:cNvPr id="1760523765" name="Chart8" title="Diagram">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923925</xdr:colOff>
      <xdr:row>3</xdr:row>
      <xdr:rowOff>142875</xdr:rowOff>
    </xdr:from>
    <xdr:ext cx="1847850" cy="2857500"/>
    <mc:AlternateContent>
      <mc:Choice Requires="sle15">
        <xdr:graphicFrame>
          <xdr:nvGraphicFramePr>
            <xdr:cNvPr id="1" name="Year_1"/>
            <xdr:cNvGraphicFramePr/>
          </xdr:nvGraphicFramePr>
          <xdr:xfrm>
            <a:off x="0" y="0"/>
            <a:ext cx="0" cy="0"/>
          </xdr:xfrm>
          <a:graphic>
            <a:graphicData uri="http://schemas.microsoft.com/office/drawing/2010/slicer">
              <x3Unk:slicer name="Year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75" sheet="HollywoodsMostProfitableStories"/>
  </cacheSource>
  <cacheFields>
    <cacheField name="Film" numFmtId="0">
      <sharedItems>
        <s v="27 Dresses"/>
        <s v="(500) Days of Summer"/>
        <s v="A Dangerous Method"/>
        <s v="A Serious Man"/>
        <s v="Across the Universe"/>
        <s v="Beginners"/>
        <s v="Dear John"/>
        <s v="Enchanted"/>
        <s v="Fireproof"/>
        <s v="Four Christmases"/>
        <s v="Ghosts of Girlfriends Past"/>
        <s v="Gnomeo and Juliet"/>
        <s v="Going the Distance"/>
        <s v="Good Luck Chuck"/>
        <s v="He's Just Not That Into You"/>
        <s v="High School Musical 3: Senior Year"/>
        <s v="I Love You Phillip Morris"/>
        <s v="It's Complicated"/>
        <s v="Jane Eyre"/>
        <s v="Just Wright"/>
        <s v="Killers"/>
        <s v="Knocked Up"/>
        <s v="Leap Year"/>
        <s v="Letters to Juliet"/>
        <s v="License to Wed"/>
        <s v="Life as We Know It"/>
        <s v="Love &amp; Other Drugs"/>
        <s v="Love Happens"/>
        <s v="Made of Honor"/>
        <s v="Mamma Mia!"/>
        <s v="Marley and Me"/>
        <s v="Midnight in Paris"/>
        <s v="Miss Pettigrew Lives for a Day"/>
        <s v="Monte Carlo"/>
        <s v="Music and Lyrics"/>
        <s v="My Week with Marilyn"/>
        <s v="New Year's Eve"/>
        <s v="Nick and Norah's Infinite Playlist"/>
        <s v="No Reservations"/>
        <s v="Not Easily Broken"/>
        <s v="One Day"/>
        <s v="Our Family Wedding"/>
        <s v="Over Her Dead Body"/>
        <s v="P.S. I Love You"/>
        <s v="Penelope"/>
        <s v="Rachel Getting Married"/>
        <s v="Remember Me"/>
        <s v="Sex and the City"/>
        <s v="Sex and the City 2"/>
        <s v="She's Out of My League"/>
        <s v="Something Borrowed"/>
        <s v="Tangled"/>
        <s v="The Back-up Plan"/>
        <s v="The Curious Case of Benjamin Button"/>
        <s v="The Duchess"/>
        <s v="The Heartbreak Kid"/>
        <s v="The Invention of Lying"/>
        <s v="The Proposal"/>
        <s v="The Time Traveler's Wife"/>
        <s v="The Twilight Saga: New Moon"/>
        <s v="The Ugly Truth"/>
        <s v="Twilight"/>
        <s v="Twilight: Breaking Dawn"/>
        <s v="Tyler Perry's Why Did I get Married"/>
        <s v="Valentine's Day"/>
        <s v="Waiting For Forever"/>
        <s v="Waitress"/>
        <s v="WALL-E"/>
        <s v="Water For Elephants"/>
        <s v="What Happens in Vegas"/>
        <s v="When in Rome"/>
        <s v="You Will Meet a Tall Dark Stranger"/>
        <s v="Youth in Revolt"/>
        <s v="Zack and Miri Make a Porno"/>
      </sharedItems>
    </cacheField>
    <cacheField name="Genre" numFmtId="0">
      <sharedItems>
        <s v="Comedy"/>
        <s v="Drama"/>
        <s v="Romance"/>
        <s v="Animation"/>
        <s v="Action"/>
        <s v="Fantasy"/>
      </sharedItems>
    </cacheField>
    <cacheField name="Lead Studio" numFmtId="0">
      <sharedItems>
        <s v="Fox"/>
        <s v="Independent"/>
        <s v="Universal"/>
        <s v="Sony"/>
        <s v="Disney"/>
        <s v="Warner Bros."/>
        <s v="Lionsgate"/>
        <s v="Summit"/>
        <s v="20th Century Fox"/>
        <s v="The Weinstein Company"/>
        <s v="Undefined"/>
        <s v="New Line"/>
        <s v="Paramount"/>
        <s v="CBS"/>
      </sharedItems>
    </cacheField>
    <cacheField name="Audience  score %" numFmtId="0">
      <sharedItems containsString="0" containsBlank="1" containsNumber="1" containsInteger="1">
        <n v="71.0"/>
        <n v="81.0"/>
        <n v="89.0"/>
        <n v="64.0"/>
        <n v="84.0"/>
        <n v="80.0"/>
        <n v="66.0"/>
        <n v="51.0"/>
        <n v="52.0"/>
        <n v="47.0"/>
        <n v="56.0"/>
        <n v="61.0"/>
        <n v="60.0"/>
        <n v="76.0"/>
        <n v="57.0"/>
        <n v="63.0"/>
        <n v="77.0"/>
        <n v="58.0"/>
        <n v="45.0"/>
        <n v="83.0"/>
        <n v="49.0"/>
        <n v="62.0"/>
        <n v="55.0"/>
        <n v="40.0"/>
        <n v="70.0"/>
        <n v="50.0"/>
        <n v="48.0"/>
        <n v="67.0"/>
        <n v="54.0"/>
        <n v="82.0"/>
        <n v="74.0"/>
        <m/>
        <n v="88.0"/>
        <n v="68.0"/>
        <n v="41.0"/>
        <n v="65.0"/>
        <n v="78.0"/>
        <n v="53.0"/>
        <n v="72.0"/>
        <n v="44.0"/>
        <n v="35.0"/>
      </sharedItems>
    </cacheField>
    <cacheField name="Audience Score group" numFmtId="0">
      <sharedItems>
        <s v="Tinggi"/>
        <s v="Sedang"/>
        <s v="Rendah"/>
      </sharedItems>
    </cacheField>
    <cacheField name="Profitability" numFmtId="0">
      <sharedItems containsString="0" containsBlank="1" containsNumber="1">
        <n v="5.3436218"/>
        <n v="8.096"/>
        <n v="0.44864475"/>
        <n v="4.382857143"/>
        <n v="0.652603178"/>
        <n v="4.471875"/>
        <n v="4.5988"/>
        <n v="4.005737082"/>
        <n v="66.934"/>
        <n v="2.022925"/>
        <n v="2.0444"/>
        <n v="5.387972222"/>
        <n v="1.3140625"/>
        <n v="2.36768512"/>
        <n v="7.1536"/>
        <n v="22.91313646"/>
        <n v="1.34"/>
        <n v="2.642352941"/>
        <m/>
        <n v="1.797416667"/>
        <n v="1.245333333"/>
        <n v="6.636401848"/>
        <n v="1.715263158"/>
        <n v="2.639333333"/>
        <n v="1.9802064"/>
        <n v="2.530526316"/>
        <n v="1.817666667"/>
        <n v="2.004444444"/>
        <n v="2.64906835"/>
        <n v="9.234453864"/>
        <n v="3.746781818"/>
        <n v="8.744705882"/>
        <n v="0.2528949"/>
        <n v="1.9832"/>
        <n v="3.64741055"/>
        <n v="0.8258"/>
        <n v="2.536428571"/>
        <n v="3.3527293"/>
        <n v="3.307180357"/>
        <n v="2.14"/>
        <n v="3.682733333"/>
        <n v="2.071"/>
        <n v="5.103116833"/>
        <n v="1.382799733"/>
        <n v="1.384166667"/>
        <n v="3.49125"/>
        <n v="7.221795791"/>
        <n v="2.8835"/>
        <n v="2.4405"/>
        <n v="1.719514286"/>
        <n v="1.365692308"/>
        <n v="2.202571429"/>
        <n v="1.78394375"/>
        <n v="3.207850222"/>
        <n v="2.129444167"/>
        <n v="1.751351351"/>
        <n v="7.8675"/>
        <n v="2.598205128"/>
        <n v="14.1964"/>
        <n v="5.402631579"/>
        <n v="10.18002703"/>
        <n v="6.383363636"/>
        <n v="3.7241924"/>
        <n v="4.184038462"/>
        <n v="0.005"/>
        <n v="11.0897415"/>
        <n v="2.896019067"/>
        <n v="3.081421053"/>
        <n v="6.267647029"/>
        <n v="1.211818182"/>
        <n v="1.09"/>
        <n v="1.747541667"/>
      </sharedItems>
    </cacheField>
    <cacheField name="Rotten Tomatoes %" numFmtId="0">
      <sharedItems containsString="0" containsBlank="1" containsNumber="1" containsInteger="1">
        <n v="40.0"/>
        <n v="87.0"/>
        <n v="79.0"/>
        <n v="89.0"/>
        <n v="54.0"/>
        <n v="84.0"/>
        <n v="29.0"/>
        <n v="93.0"/>
        <n v="26.0"/>
        <n v="27.0"/>
        <n v="56.0"/>
        <n v="53.0"/>
        <n v="3.0"/>
        <n v="42.0"/>
        <n v="65.0"/>
        <n v="71.0"/>
        <n v="85.0"/>
        <n v="45.0"/>
        <n v="11.0"/>
        <n v="91.0"/>
        <n v="21.0"/>
        <n v="8.0"/>
        <n v="28.0"/>
        <n v="48.0"/>
        <n v="18.0"/>
        <n v="13.0"/>
        <n v="63.0"/>
        <n v="78.0"/>
        <n v="38.0"/>
        <n v="83.0"/>
        <n v="73.0"/>
        <n v="39.0"/>
        <n v="34.0"/>
        <n v="37.0"/>
        <n v="14.0"/>
        <n v="15.0"/>
        <n v="52.0"/>
        <n v="49.0"/>
        <n v="57.0"/>
        <m/>
        <n v="20.0"/>
        <n v="60.0"/>
        <n v="30.0"/>
        <n v="43.0"/>
        <n v="46.0"/>
        <n v="17.0"/>
        <n v="6.0"/>
        <n v="96.0"/>
        <n v="68.0"/>
        <n v="64.0"/>
      </sharedItems>
    </cacheField>
    <cacheField name="Worldwide Gross" numFmtId="0">
      <sharedItems containsSemiMixedTypes="0" containsString="0" containsNumber="1">
        <n v="160.308654"/>
        <n v="60.72"/>
        <n v="8.972895"/>
        <n v="30.68"/>
        <n v="29.367143"/>
        <n v="14.31"/>
        <n v="114.97"/>
        <n v="340.487652"/>
        <n v="33.467"/>
        <n v="161.834"/>
        <n v="102.22"/>
        <n v="193.967"/>
        <n v="42.05"/>
        <n v="59.192128"/>
        <n v="178.84"/>
        <n v="252.044501"/>
        <n v="20.1"/>
        <n v="224.6"/>
        <n v="30.147"/>
        <n v="21.569"/>
        <n v="93.4"/>
        <n v="219.001261"/>
        <n v="32.59"/>
        <n v="79.18"/>
        <n v="69.307224"/>
        <n v="96.16"/>
        <n v="54.53"/>
        <n v="36.08"/>
        <n v="105.962734"/>
        <n v="609.473955"/>
        <n v="206.073"/>
        <n v="148.66"/>
        <n v="15.173694"/>
        <n v="39.664"/>
        <n v="145.896422"/>
        <n v="8.258"/>
        <n v="142.04"/>
        <n v="33.527293"/>
        <n v="92.60105"/>
        <n v="10.7"/>
        <n v="55.241"/>
        <n v="21.37"/>
        <n v="20.71"/>
        <n v="153.093505"/>
        <n v="20.741996"/>
        <n v="16.61"/>
        <n v="55.86"/>
        <n v="415.253258"/>
        <n v="288.35"/>
        <n v="48.81"/>
        <n v="60.183"/>
        <n v="355.08"/>
        <n v="77.09"/>
        <n v="285.431"/>
        <n v="43.305978"/>
        <n v="127.76665"/>
        <n v="32.4"/>
        <n v="314.7"/>
        <n v="101.33"/>
        <n v="709.82"/>
        <n v="205.3"/>
        <n v="376.661"/>
        <n v="702.17"/>
        <n v="55.862886"/>
        <n v="217.57"/>
        <n v="0.025"/>
        <n v="22.179483"/>
        <n v="521.283432"/>
        <n v="117.094"/>
        <n v="219.367646"/>
        <n v="43.04"/>
        <n v="26.66"/>
        <n v="19.62"/>
        <n v="41.941"/>
      </sharedItems>
    </cacheField>
    <cacheField name="Year" numFmtId="0">
      <sharedItems containsSemiMixedTypes="0" containsString="0" containsNumber="1" containsInteger="1">
        <n v="2008.0"/>
        <n v="2009.0"/>
        <n v="2011.0"/>
        <n v="2007.0"/>
        <n v="201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shboard 2" cacheId="0" dataCaption="" rowGrandTotals="0" compact="0" compactData="0">
  <location ref="J8:L14" firstHeaderRow="0" firstDataRow="2" firstDataCol="0"/>
  <pivotFields>
    <pivotField name="Fil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Genre" axis="axisRow" compact="0" outline="0" multipleItemSelectionAllowed="1" showAll="0" sortType="ascending">
      <items>
        <item x="4"/>
        <item x="3"/>
        <item x="0"/>
        <item x="1"/>
        <item x="5"/>
        <item x="2"/>
        <item t="default"/>
      </items>
    </pivotField>
    <pivotField name="Lead Studio" compact="0" outline="0" multipleItemSelectionAllowed="1" showAll="0">
      <items>
        <item x="0"/>
        <item x="1"/>
        <item x="2"/>
        <item x="3"/>
        <item x="4"/>
        <item x="5"/>
        <item x="6"/>
        <item x="7"/>
        <item x="8"/>
        <item x="9"/>
        <item x="10"/>
        <item x="11"/>
        <item x="12"/>
        <item x="13"/>
        <item t="default"/>
      </items>
    </pivotField>
    <pivotField name="Audience  scor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Audience Score group" compact="0" outline="0" multipleItemSelectionAllowed="1" showAll="0">
      <items>
        <item x="0"/>
        <item x="1"/>
        <item x="2"/>
        <item t="default"/>
      </items>
    </pivotField>
    <pivotField name="Profitabilit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otten Tomatoes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Worldwide Gr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Year" compact="0" outline="0" multipleItemSelectionAllowed="1" showAll="0">
      <items>
        <item x="0"/>
        <item x="1"/>
        <item x="2"/>
        <item x="3"/>
        <item x="4"/>
        <item t="default"/>
      </items>
    </pivotField>
  </pivotFields>
  <rowFields>
    <field x="1"/>
  </rowFields>
  <colFields>
    <field x="-2"/>
  </colFields>
  <dataFields>
    <dataField name="FILM" fld="0" subtotal="count" baseField="0"/>
    <dataField name="Profit" fld="5" showDataAs="percentOfTotal" baseField="0" numFmtId="10"/>
  </dataFields>
</pivotTableDefinition>
</file>

<file path=xl/pivotTables/pivotTable2.xml><?xml version="1.0" encoding="utf-8"?>
<pivotTableDefinition xmlns="http://schemas.openxmlformats.org/spreadsheetml/2006/main" name="Dashboard 3" cacheId="0" dataCaption="" rowGrandTotals="0" compact="0" compactData="0">
  <location ref="J18:L32" firstHeaderRow="0" firstDataRow="2" firstDataCol="0"/>
  <pivotFields>
    <pivotField name="Fil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Genre" compact="0" outline="0" multipleItemSelectionAllowed="1" showAll="0">
      <items>
        <item x="0"/>
        <item x="1"/>
        <item x="2"/>
        <item x="3"/>
        <item x="4"/>
        <item x="5"/>
        <item t="default"/>
      </items>
    </pivotField>
    <pivotField name="Studio" axis="axisRow" compact="0" outline="0" multipleItemSelectionAllowed="1" showAll="0" sortType="ascending">
      <items>
        <item x="8"/>
        <item x="13"/>
        <item x="4"/>
        <item x="0"/>
        <item x="1"/>
        <item x="6"/>
        <item x="11"/>
        <item x="12"/>
        <item x="3"/>
        <item x="7"/>
        <item x="9"/>
        <item x="10"/>
        <item x="2"/>
        <item x="5"/>
        <item t="default"/>
      </items>
    </pivotField>
    <pivotField name="Audience  scor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Audience Score group" compact="0" outline="0" multipleItemSelectionAllowed="1" showAll="0">
      <items>
        <item x="0"/>
        <item x="1"/>
        <item x="2"/>
        <item t="default"/>
      </items>
    </pivotField>
    <pivotField name="Profitabilit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otten Tomatoes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Worldwide Gr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Year" compact="0" outline="0" multipleItemSelectionAllowed="1" showAll="0">
      <items>
        <item x="0"/>
        <item x="1"/>
        <item x="2"/>
        <item x="3"/>
        <item x="4"/>
        <item t="default"/>
      </items>
    </pivotField>
  </pivotFields>
  <rowFields>
    <field x="2"/>
  </rowFields>
  <colFields>
    <field x="-2"/>
  </colFields>
  <dataFields>
    <dataField name="Film" fld="0" subtotal="count" baseField="0"/>
    <dataField name="Proft" fld="5" showDataAs="percentOfTotal" baseField="0" numFmtId="10"/>
  </dataFields>
</pivotTableDefinition>
</file>

<file path=xl/pivotTables/pivotTable3.xml><?xml version="1.0" encoding="utf-8"?>
<pivotTableDefinition xmlns="http://schemas.openxmlformats.org/spreadsheetml/2006/main" name="Dashboard 4" cacheId="0" dataCaption="" compact="0" compactData="0">
  <location ref="J36:L40" firstHeaderRow="0" firstDataRow="2" firstDataCol="0"/>
  <pivotFields>
    <pivotField name="Fil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Genre" compact="0" outline="0" multipleItemSelectionAllowed="1" showAll="0">
      <items>
        <item x="0"/>
        <item x="1"/>
        <item x="2"/>
        <item x="3"/>
        <item x="4"/>
        <item x="5"/>
        <item t="default"/>
      </items>
    </pivotField>
    <pivotField name="Lead Studio" compact="0" outline="0" multipleItemSelectionAllowed="1" showAll="0">
      <items>
        <item x="0"/>
        <item x="1"/>
        <item x="2"/>
        <item x="3"/>
        <item x="4"/>
        <item x="5"/>
        <item x="6"/>
        <item x="7"/>
        <item x="8"/>
        <item x="9"/>
        <item x="10"/>
        <item x="11"/>
        <item x="12"/>
        <item x="13"/>
        <item t="default"/>
      </items>
    </pivotField>
    <pivotField name="Audience  scor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Audience Score " axis="axisRow" compact="0" outline="0" multipleItemSelectionAllowed="1" showAll="0" sortType="ascending">
      <items>
        <item x="2"/>
        <item x="1"/>
        <item x="0"/>
        <item t="default"/>
      </items>
    </pivotField>
    <pivotField name="Profitabilit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otten Tomatoes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Worldwide Gr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Year" compact="0" outline="0" multipleItemSelectionAllowed="1" showAll="0">
      <items>
        <item x="0"/>
        <item x="1"/>
        <item x="2"/>
        <item x="3"/>
        <item x="4"/>
        <item t="default"/>
      </items>
    </pivotField>
  </pivotFields>
  <rowFields>
    <field x="4"/>
  </rowFields>
  <colFields>
    <field x="-2"/>
  </colFields>
  <dataFields>
    <dataField name="Profit" fld="5" subtotal="average" baseField="0"/>
    <dataField name="Film" fld="0" subtotal="count" baseField="0"/>
  </dataFields>
</pivotTableDefinition>
</file>

<file path=xl/pivotTables/pivotTable4.xml><?xml version="1.0" encoding="utf-8"?>
<pivotTableDefinition xmlns="http://schemas.openxmlformats.org/spreadsheetml/2006/main" name="Dashboard 5" cacheId="0" dataCaption="" compact="0" compactData="0">
  <location ref="J43:L49" firstHeaderRow="0" firstDataRow="2" firstDataCol="0"/>
  <pivotFields>
    <pivotField name="Fil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Genre" compact="0" outline="0" multipleItemSelectionAllowed="1" showAll="0">
      <items>
        <item x="0"/>
        <item x="1"/>
        <item x="2"/>
        <item x="3"/>
        <item x="4"/>
        <item x="5"/>
        <item t="default"/>
      </items>
    </pivotField>
    <pivotField name="Lead Studio" compact="0" outline="0" multipleItemSelectionAllowed="1" showAll="0">
      <items>
        <item x="0"/>
        <item x="1"/>
        <item x="2"/>
        <item x="3"/>
        <item x="4"/>
        <item x="5"/>
        <item x="6"/>
        <item x="7"/>
        <item x="8"/>
        <item x="9"/>
        <item x="10"/>
        <item x="11"/>
        <item x="12"/>
        <item x="13"/>
        <item t="default"/>
      </items>
    </pivotField>
    <pivotField name="Audience  scor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Audience Score group" compact="0" outline="0" multipleItemSelectionAllowed="1" showAll="0">
      <items>
        <item x="0"/>
        <item x="1"/>
        <item x="2"/>
        <item t="default"/>
      </items>
    </pivotField>
    <pivotField name="Profitabilit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otten Tomatoes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Worldwide Gr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Year" axis="axisRow" compact="0" outline="0" multipleItemSelectionAllowed="1" showAll="0" sortType="ascending">
      <items>
        <item x="3"/>
        <item x="0"/>
        <item x="1"/>
        <item x="4"/>
        <item x="2"/>
        <item t="default"/>
      </items>
    </pivotField>
  </pivotFields>
  <rowFields>
    <field x="8"/>
  </rowFields>
  <colFields>
    <field x="-2"/>
  </colFields>
  <dataFields>
    <dataField name="Profit" fld="5" baseField="0"/>
    <dataField name="Film" fld="0" subtotal="count" baseField="0"/>
  </dataFields>
</pivotTableDefinition>
</file>

<file path=xl/pivotTables/pivotTable5.xml><?xml version="1.0" encoding="utf-8"?>
<pivotTableDefinition xmlns="http://schemas.openxmlformats.org/spreadsheetml/2006/main" name="Dashboard 6" cacheId="0" dataCaption="" rowGrandTotals="0" colGrandTotals="0" compact="0" compactData="0">
  <location ref="A47:F54" firstHeaderRow="0" firstDataRow="1" firstDataCol="1"/>
  <pivotFields>
    <pivotField name="Fil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Genre" axis="axisRow" compact="0" outline="0" multipleItemSelectionAllowed="1" showAll="0" sortType="ascending">
      <items>
        <item x="4"/>
        <item x="3"/>
        <item x="0"/>
        <item x="1"/>
        <item x="5"/>
        <item x="2"/>
        <item t="default"/>
      </items>
    </pivotField>
    <pivotField name="Lead Studio" compact="0" outline="0" multipleItemSelectionAllowed="1" showAll="0">
      <items>
        <item x="0"/>
        <item x="1"/>
        <item x="2"/>
        <item x="3"/>
        <item x="4"/>
        <item x="5"/>
        <item x="6"/>
        <item x="7"/>
        <item x="8"/>
        <item x="9"/>
        <item x="10"/>
        <item x="11"/>
        <item x="12"/>
        <item x="13"/>
        <item t="default"/>
      </items>
    </pivotField>
    <pivotField name="Audience  scor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Audience Score group" compact="0" outline="0" multipleItemSelectionAllowed="1" showAll="0">
      <items>
        <item x="0"/>
        <item x="1"/>
        <item x="2"/>
        <item t="default"/>
      </items>
    </pivotField>
    <pivotField name="Profitabilit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Rotten Tomatoes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Worldwide Gro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Year" axis="axisCol" compact="0" outline="0" multipleItemSelectionAllowed="1" showAll="0" sortType="ascending">
      <items>
        <item x="3"/>
        <item x="0"/>
        <item x="1"/>
        <item x="4"/>
        <item x="2"/>
        <item t="default"/>
      </items>
    </pivotField>
  </pivotFields>
  <rowFields>
    <field x="1"/>
  </rowFields>
  <colFields>
    <field x="8"/>
  </colFields>
  <dataFields>
    <dataField name="SUM of Profitability" fld="5"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9" sourceName="Year">
  <x14:extLst>
    <ext uri="{2F2917AC-EB37-4324-AD4E-5DD8C200BD13}">
      <x15:tableSlicerCache tableId="1" column="9"/>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Year_1" cache="SlicerCache_Table_1_Col_9" caption="Year" rowHeight="247650"/>
</x14:slicers>
</file>

<file path=xl/tables/table1.xml><?xml version="1.0" encoding="utf-8"?>
<table xmlns="http://schemas.openxmlformats.org/spreadsheetml/2006/main" ref="A1:I75" displayName="Table_1" name="Table_1" id="1">
  <autoFilter ref="$A$1:$I$75"/>
  <tableColumns count="9">
    <tableColumn name="Film" id="1"/>
    <tableColumn name="Genre" id="2"/>
    <tableColumn name="Lead Studio" id="3"/>
    <tableColumn name="Audience  score %" id="4"/>
    <tableColumn name="Audience Score group" id="5"/>
    <tableColumn name="Profitability" id="6"/>
    <tableColumn name="Rotten Tomatoes %" id="7"/>
    <tableColumn name="Worldwide Gross" id="8"/>
    <tableColumn name="Year" id="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3.xml"/><Relationship Id="rId7"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17.88"/>
    <col customWidth="1" min="4" max="4" width="14.88"/>
    <col customWidth="1" min="5" max="6" width="21.25"/>
  </cols>
  <sheetData>
    <row r="1">
      <c r="A1" s="7" t="s">
        <v>10</v>
      </c>
      <c r="B1" s="7" t="s">
        <v>11</v>
      </c>
      <c r="C1" s="7" t="s">
        <v>12</v>
      </c>
      <c r="D1" s="7" t="s">
        <v>13</v>
      </c>
      <c r="E1" s="7" t="s">
        <v>14</v>
      </c>
      <c r="F1" s="7" t="s">
        <v>15</v>
      </c>
      <c r="G1" s="7" t="s">
        <v>16</v>
      </c>
      <c r="H1" s="7" t="s">
        <v>17</v>
      </c>
      <c r="I1" s="7" t="s">
        <v>18</v>
      </c>
    </row>
    <row r="2">
      <c r="A2" s="7" t="s">
        <v>19</v>
      </c>
      <c r="B2" s="7" t="s">
        <v>20</v>
      </c>
      <c r="C2" s="7" t="s">
        <v>21</v>
      </c>
      <c r="D2" s="7">
        <v>71.0</v>
      </c>
      <c r="E2" s="7" t="str">
        <f t="shared" ref="E2:E75" si="1">IF(D2&lt;=50,"Rendah",IF(D2&lt;=70,"Sedang","Tinggi"))
</f>
        <v>Tinggi</v>
      </c>
      <c r="F2" s="7">
        <v>5.3436218</v>
      </c>
      <c r="G2" s="7">
        <v>40.0</v>
      </c>
      <c r="H2" s="7">
        <v>160.308654</v>
      </c>
      <c r="I2" s="7">
        <v>2008.0</v>
      </c>
    </row>
    <row r="3">
      <c r="A3" s="7" t="s">
        <v>22</v>
      </c>
      <c r="B3" s="7" t="s">
        <v>20</v>
      </c>
      <c r="C3" s="7" t="s">
        <v>21</v>
      </c>
      <c r="D3" s="7">
        <v>81.0</v>
      </c>
      <c r="E3" s="7" t="str">
        <f t="shared" si="1"/>
        <v>Tinggi</v>
      </c>
      <c r="F3" s="7">
        <v>8.096</v>
      </c>
      <c r="G3" s="7">
        <v>87.0</v>
      </c>
      <c r="H3" s="7">
        <v>60.72</v>
      </c>
      <c r="I3" s="7">
        <v>2009.0</v>
      </c>
    </row>
    <row r="4">
      <c r="A4" s="7" t="s">
        <v>23</v>
      </c>
      <c r="B4" s="7" t="s">
        <v>24</v>
      </c>
      <c r="C4" s="7" t="s">
        <v>25</v>
      </c>
      <c r="D4" s="7">
        <v>89.0</v>
      </c>
      <c r="E4" s="7" t="str">
        <f t="shared" si="1"/>
        <v>Tinggi</v>
      </c>
      <c r="F4" s="7">
        <v>0.44864475</v>
      </c>
      <c r="G4" s="7">
        <v>79.0</v>
      </c>
      <c r="H4" s="7">
        <v>8.972895</v>
      </c>
      <c r="I4" s="7">
        <v>2011.0</v>
      </c>
    </row>
    <row r="5">
      <c r="A5" s="7" t="s">
        <v>26</v>
      </c>
      <c r="B5" s="7" t="s">
        <v>24</v>
      </c>
      <c r="C5" s="7" t="s">
        <v>27</v>
      </c>
      <c r="D5" s="7">
        <v>64.0</v>
      </c>
      <c r="E5" s="7" t="str">
        <f t="shared" si="1"/>
        <v>Sedang</v>
      </c>
      <c r="F5" s="7">
        <v>4.382857143</v>
      </c>
      <c r="G5" s="7">
        <v>89.0</v>
      </c>
      <c r="H5" s="7">
        <v>30.68</v>
      </c>
      <c r="I5" s="7">
        <v>2009.0</v>
      </c>
    </row>
    <row r="6">
      <c r="A6" s="7" t="s">
        <v>28</v>
      </c>
      <c r="B6" s="7" t="s">
        <v>29</v>
      </c>
      <c r="C6" s="7" t="s">
        <v>25</v>
      </c>
      <c r="D6" s="7">
        <v>84.0</v>
      </c>
      <c r="E6" s="7" t="str">
        <f t="shared" si="1"/>
        <v>Tinggi</v>
      </c>
      <c r="F6" s="7">
        <v>0.652603178</v>
      </c>
      <c r="G6" s="7">
        <v>54.0</v>
      </c>
      <c r="H6" s="7">
        <v>29.367143</v>
      </c>
      <c r="I6" s="7">
        <v>2007.0</v>
      </c>
    </row>
    <row r="7">
      <c r="A7" s="7" t="s">
        <v>30</v>
      </c>
      <c r="B7" s="7" t="s">
        <v>20</v>
      </c>
      <c r="C7" s="7" t="s">
        <v>25</v>
      </c>
      <c r="D7" s="7">
        <v>80.0</v>
      </c>
      <c r="E7" s="7" t="str">
        <f t="shared" si="1"/>
        <v>Tinggi</v>
      </c>
      <c r="F7" s="7">
        <v>4.471875</v>
      </c>
      <c r="G7" s="7">
        <v>84.0</v>
      </c>
      <c r="H7" s="7">
        <v>14.31</v>
      </c>
      <c r="I7" s="7">
        <v>2011.0</v>
      </c>
    </row>
    <row r="8">
      <c r="A8" s="7" t="s">
        <v>31</v>
      </c>
      <c r="B8" s="7" t="s">
        <v>24</v>
      </c>
      <c r="C8" s="7" t="s">
        <v>32</v>
      </c>
      <c r="D8" s="7">
        <v>66.0</v>
      </c>
      <c r="E8" s="7" t="str">
        <f t="shared" si="1"/>
        <v>Sedang</v>
      </c>
      <c r="F8" s="7">
        <v>4.5988</v>
      </c>
      <c r="G8" s="7">
        <v>29.0</v>
      </c>
      <c r="H8" s="7">
        <v>114.97</v>
      </c>
      <c r="I8" s="7">
        <v>2010.0</v>
      </c>
    </row>
    <row r="9">
      <c r="A9" s="7" t="s">
        <v>33</v>
      </c>
      <c r="B9" s="7" t="s">
        <v>20</v>
      </c>
      <c r="C9" s="7" t="s">
        <v>34</v>
      </c>
      <c r="D9" s="7">
        <v>80.0</v>
      </c>
      <c r="E9" s="7" t="str">
        <f t="shared" si="1"/>
        <v>Tinggi</v>
      </c>
      <c r="F9" s="7">
        <v>4.005737082</v>
      </c>
      <c r="G9" s="7">
        <v>93.0</v>
      </c>
      <c r="H9" s="7">
        <v>340.487652</v>
      </c>
      <c r="I9" s="7">
        <v>2007.0</v>
      </c>
    </row>
    <row r="10">
      <c r="A10" s="7" t="s">
        <v>35</v>
      </c>
      <c r="B10" s="7" t="s">
        <v>24</v>
      </c>
      <c r="C10" s="7" t="s">
        <v>25</v>
      </c>
      <c r="D10" s="7">
        <v>51.0</v>
      </c>
      <c r="E10" s="7" t="str">
        <f t="shared" si="1"/>
        <v>Sedang</v>
      </c>
      <c r="F10" s="7">
        <v>66.934</v>
      </c>
      <c r="G10" s="7">
        <v>40.0</v>
      </c>
      <c r="H10" s="7">
        <v>33.467</v>
      </c>
      <c r="I10" s="7">
        <v>2008.0</v>
      </c>
    </row>
    <row r="11">
      <c r="A11" s="7" t="s">
        <v>36</v>
      </c>
      <c r="B11" s="7" t="s">
        <v>20</v>
      </c>
      <c r="C11" s="7" t="s">
        <v>37</v>
      </c>
      <c r="D11" s="7">
        <v>52.0</v>
      </c>
      <c r="E11" s="7" t="str">
        <f t="shared" si="1"/>
        <v>Sedang</v>
      </c>
      <c r="F11" s="7">
        <v>2.022925</v>
      </c>
      <c r="G11" s="7">
        <v>26.0</v>
      </c>
      <c r="H11" s="7">
        <v>161.834</v>
      </c>
      <c r="I11" s="7">
        <v>2008.0</v>
      </c>
    </row>
    <row r="12">
      <c r="A12" s="7" t="s">
        <v>38</v>
      </c>
      <c r="B12" s="7" t="s">
        <v>20</v>
      </c>
      <c r="C12" s="7" t="s">
        <v>37</v>
      </c>
      <c r="D12" s="7">
        <v>47.0</v>
      </c>
      <c r="E12" s="7" t="str">
        <f t="shared" si="1"/>
        <v>Rendah</v>
      </c>
      <c r="F12" s="7">
        <v>2.0444</v>
      </c>
      <c r="G12" s="7">
        <v>27.0</v>
      </c>
      <c r="H12" s="7">
        <v>102.22</v>
      </c>
      <c r="I12" s="7">
        <v>2009.0</v>
      </c>
    </row>
    <row r="13">
      <c r="A13" s="7" t="s">
        <v>39</v>
      </c>
      <c r="B13" s="7" t="s">
        <v>40</v>
      </c>
      <c r="C13" s="7" t="s">
        <v>34</v>
      </c>
      <c r="D13" s="7">
        <v>52.0</v>
      </c>
      <c r="E13" s="7" t="str">
        <f t="shared" si="1"/>
        <v>Sedang</v>
      </c>
      <c r="F13" s="7">
        <v>5.387972222</v>
      </c>
      <c r="G13" s="7">
        <v>56.0</v>
      </c>
      <c r="H13" s="7">
        <v>193.967</v>
      </c>
      <c r="I13" s="7">
        <v>2011.0</v>
      </c>
    </row>
    <row r="14">
      <c r="A14" s="7" t="s">
        <v>41</v>
      </c>
      <c r="B14" s="7" t="s">
        <v>20</v>
      </c>
      <c r="C14" s="7" t="s">
        <v>37</v>
      </c>
      <c r="D14" s="7">
        <v>56.0</v>
      </c>
      <c r="E14" s="7" t="str">
        <f t="shared" si="1"/>
        <v>Sedang</v>
      </c>
      <c r="F14" s="7">
        <v>1.3140625</v>
      </c>
      <c r="G14" s="7">
        <v>53.0</v>
      </c>
      <c r="H14" s="7">
        <v>42.05</v>
      </c>
      <c r="I14" s="7">
        <v>2010.0</v>
      </c>
    </row>
    <row r="15">
      <c r="A15" s="7" t="s">
        <v>42</v>
      </c>
      <c r="B15" s="7" t="s">
        <v>20</v>
      </c>
      <c r="C15" s="7" t="s">
        <v>43</v>
      </c>
      <c r="D15" s="7">
        <v>61.0</v>
      </c>
      <c r="E15" s="7" t="str">
        <f t="shared" si="1"/>
        <v>Sedang</v>
      </c>
      <c r="F15" s="7">
        <v>2.36768512</v>
      </c>
      <c r="G15" s="7">
        <v>3.0</v>
      </c>
      <c r="H15" s="7">
        <v>59.192128</v>
      </c>
      <c r="I15" s="7">
        <v>2007.0</v>
      </c>
    </row>
    <row r="16">
      <c r="A16" s="7" t="s">
        <v>44</v>
      </c>
      <c r="B16" s="7" t="s">
        <v>20</v>
      </c>
      <c r="C16" s="7" t="s">
        <v>37</v>
      </c>
      <c r="D16" s="7">
        <v>60.0</v>
      </c>
      <c r="E16" s="7" t="str">
        <f t="shared" si="1"/>
        <v>Sedang</v>
      </c>
      <c r="F16" s="7">
        <v>7.1536</v>
      </c>
      <c r="G16" s="7">
        <v>42.0</v>
      </c>
      <c r="H16" s="7">
        <v>178.84</v>
      </c>
      <c r="I16" s="7">
        <v>2009.0</v>
      </c>
    </row>
    <row r="17">
      <c r="A17" s="7" t="s">
        <v>45</v>
      </c>
      <c r="B17" s="7" t="s">
        <v>20</v>
      </c>
      <c r="C17" s="7" t="s">
        <v>34</v>
      </c>
      <c r="D17" s="7">
        <v>76.0</v>
      </c>
      <c r="E17" s="7" t="str">
        <f t="shared" si="1"/>
        <v>Tinggi</v>
      </c>
      <c r="F17" s="7">
        <v>22.91313646</v>
      </c>
      <c r="G17" s="7">
        <v>65.0</v>
      </c>
      <c r="H17" s="7">
        <v>252.044501</v>
      </c>
      <c r="I17" s="7">
        <v>2008.0</v>
      </c>
    </row>
    <row r="18">
      <c r="A18" s="7" t="s">
        <v>46</v>
      </c>
      <c r="B18" s="7" t="s">
        <v>20</v>
      </c>
      <c r="C18" s="7" t="s">
        <v>25</v>
      </c>
      <c r="D18" s="7">
        <v>57.0</v>
      </c>
      <c r="E18" s="7" t="str">
        <f t="shared" si="1"/>
        <v>Sedang</v>
      </c>
      <c r="F18" s="7">
        <v>1.34</v>
      </c>
      <c r="G18" s="7">
        <v>71.0</v>
      </c>
      <c r="H18" s="7">
        <v>20.1</v>
      </c>
      <c r="I18" s="7">
        <v>2010.0</v>
      </c>
    </row>
    <row r="19">
      <c r="A19" s="7" t="s">
        <v>47</v>
      </c>
      <c r="B19" s="7" t="s">
        <v>20</v>
      </c>
      <c r="C19" s="7" t="s">
        <v>27</v>
      </c>
      <c r="D19" s="7">
        <v>63.0</v>
      </c>
      <c r="E19" s="7" t="str">
        <f t="shared" si="1"/>
        <v>Sedang</v>
      </c>
      <c r="F19" s="7">
        <v>2.642352941</v>
      </c>
      <c r="G19" s="7">
        <v>56.0</v>
      </c>
      <c r="H19" s="7">
        <v>224.6</v>
      </c>
      <c r="I19" s="7">
        <v>2009.0</v>
      </c>
    </row>
    <row r="20">
      <c r="A20" s="7" t="s">
        <v>48</v>
      </c>
      <c r="B20" s="7" t="s">
        <v>29</v>
      </c>
      <c r="C20" s="7" t="s">
        <v>27</v>
      </c>
      <c r="D20" s="7">
        <v>77.0</v>
      </c>
      <c r="E20" s="7" t="str">
        <f t="shared" si="1"/>
        <v>Tinggi</v>
      </c>
      <c r="G20" s="7">
        <v>85.0</v>
      </c>
      <c r="H20" s="7">
        <v>30.147</v>
      </c>
      <c r="I20" s="7">
        <v>2011.0</v>
      </c>
    </row>
    <row r="21">
      <c r="A21" s="7" t="s">
        <v>49</v>
      </c>
      <c r="B21" s="7" t="s">
        <v>20</v>
      </c>
      <c r="C21" s="7" t="s">
        <v>21</v>
      </c>
      <c r="D21" s="7">
        <v>58.0</v>
      </c>
      <c r="E21" s="7" t="str">
        <f t="shared" si="1"/>
        <v>Sedang</v>
      </c>
      <c r="F21" s="7">
        <v>1.797416667</v>
      </c>
      <c r="G21" s="7">
        <v>45.0</v>
      </c>
      <c r="H21" s="7">
        <v>21.569</v>
      </c>
      <c r="I21" s="7">
        <v>2010.0</v>
      </c>
    </row>
    <row r="22">
      <c r="A22" s="7" t="s">
        <v>50</v>
      </c>
      <c r="B22" s="7" t="s">
        <v>51</v>
      </c>
      <c r="C22" s="7" t="s">
        <v>43</v>
      </c>
      <c r="D22" s="7">
        <v>45.0</v>
      </c>
      <c r="E22" s="7" t="str">
        <f t="shared" si="1"/>
        <v>Rendah</v>
      </c>
      <c r="F22" s="7">
        <v>1.245333333</v>
      </c>
      <c r="G22" s="7">
        <v>11.0</v>
      </c>
      <c r="H22" s="7">
        <v>93.4</v>
      </c>
      <c r="I22" s="7">
        <v>2010.0</v>
      </c>
    </row>
    <row r="23">
      <c r="A23" s="7" t="s">
        <v>52</v>
      </c>
      <c r="B23" s="7" t="s">
        <v>20</v>
      </c>
      <c r="C23" s="7" t="s">
        <v>27</v>
      </c>
      <c r="D23" s="7">
        <v>83.0</v>
      </c>
      <c r="E23" s="7" t="str">
        <f t="shared" si="1"/>
        <v>Tinggi</v>
      </c>
      <c r="F23" s="7">
        <v>6.636401848</v>
      </c>
      <c r="G23" s="7">
        <v>91.0</v>
      </c>
      <c r="H23" s="7">
        <v>219.001261</v>
      </c>
      <c r="I23" s="7">
        <v>2007.0</v>
      </c>
    </row>
    <row r="24">
      <c r="A24" s="7" t="s">
        <v>53</v>
      </c>
      <c r="B24" s="7" t="s">
        <v>20</v>
      </c>
      <c r="C24" s="7" t="s">
        <v>27</v>
      </c>
      <c r="D24" s="7">
        <v>49.0</v>
      </c>
      <c r="E24" s="7" t="str">
        <f t="shared" si="1"/>
        <v>Rendah</v>
      </c>
      <c r="F24" s="7">
        <v>1.715263158</v>
      </c>
      <c r="G24" s="7">
        <v>21.0</v>
      </c>
      <c r="H24" s="7">
        <v>32.59</v>
      </c>
      <c r="I24" s="7">
        <v>2010.0</v>
      </c>
    </row>
    <row r="25">
      <c r="A25" s="7" t="s">
        <v>54</v>
      </c>
      <c r="B25" s="7" t="s">
        <v>20</v>
      </c>
      <c r="C25" s="7" t="s">
        <v>55</v>
      </c>
      <c r="D25" s="7">
        <v>62.0</v>
      </c>
      <c r="E25" s="7" t="str">
        <f t="shared" si="1"/>
        <v>Sedang</v>
      </c>
      <c r="F25" s="7">
        <v>2.639333333</v>
      </c>
      <c r="G25" s="7">
        <v>40.0</v>
      </c>
      <c r="H25" s="7">
        <v>79.18</v>
      </c>
      <c r="I25" s="7">
        <v>2010.0</v>
      </c>
    </row>
    <row r="26">
      <c r="A26" s="7" t="s">
        <v>56</v>
      </c>
      <c r="B26" s="7" t="s">
        <v>20</v>
      </c>
      <c r="C26" s="7" t="s">
        <v>37</v>
      </c>
      <c r="D26" s="7">
        <v>55.0</v>
      </c>
      <c r="E26" s="7" t="str">
        <f t="shared" si="1"/>
        <v>Sedang</v>
      </c>
      <c r="F26" s="7">
        <v>1.9802064</v>
      </c>
      <c r="G26" s="7">
        <v>8.0</v>
      </c>
      <c r="H26" s="7">
        <v>69.307224</v>
      </c>
      <c r="I26" s="7">
        <v>2007.0</v>
      </c>
    </row>
    <row r="27">
      <c r="A27" s="7" t="s">
        <v>57</v>
      </c>
      <c r="B27" s="7" t="s">
        <v>20</v>
      </c>
      <c r="C27" s="7" t="s">
        <v>25</v>
      </c>
      <c r="D27" s="7">
        <v>62.0</v>
      </c>
      <c r="E27" s="7" t="str">
        <f t="shared" si="1"/>
        <v>Sedang</v>
      </c>
      <c r="F27" s="7">
        <v>2.530526316</v>
      </c>
      <c r="G27" s="7">
        <v>28.0</v>
      </c>
      <c r="H27" s="7">
        <v>96.16</v>
      </c>
      <c r="I27" s="7">
        <v>2010.0</v>
      </c>
    </row>
    <row r="28">
      <c r="A28" s="7" t="s">
        <v>58</v>
      </c>
      <c r="B28" s="7" t="s">
        <v>20</v>
      </c>
      <c r="C28" s="7" t="s">
        <v>21</v>
      </c>
      <c r="D28" s="7">
        <v>55.0</v>
      </c>
      <c r="E28" s="7" t="str">
        <f t="shared" si="1"/>
        <v>Sedang</v>
      </c>
      <c r="F28" s="7">
        <v>1.817666667</v>
      </c>
      <c r="G28" s="7">
        <v>48.0</v>
      </c>
      <c r="H28" s="7">
        <v>54.53</v>
      </c>
      <c r="I28" s="7">
        <v>2010.0</v>
      </c>
    </row>
    <row r="29">
      <c r="A29" s="7" t="s">
        <v>59</v>
      </c>
      <c r="B29" s="7" t="s">
        <v>24</v>
      </c>
      <c r="C29" s="7" t="s">
        <v>27</v>
      </c>
      <c r="D29" s="7">
        <v>40.0</v>
      </c>
      <c r="E29" s="7" t="str">
        <f t="shared" si="1"/>
        <v>Rendah</v>
      </c>
      <c r="F29" s="7">
        <v>2.004444444</v>
      </c>
      <c r="G29" s="7">
        <v>18.0</v>
      </c>
      <c r="H29" s="7">
        <v>36.08</v>
      </c>
      <c r="I29" s="7">
        <v>2009.0</v>
      </c>
    </row>
    <row r="30">
      <c r="A30" s="7" t="s">
        <v>60</v>
      </c>
      <c r="B30" s="7" t="s">
        <v>20</v>
      </c>
      <c r="C30" s="7" t="s">
        <v>32</v>
      </c>
      <c r="D30" s="7">
        <v>61.0</v>
      </c>
      <c r="E30" s="7" t="str">
        <f t="shared" si="1"/>
        <v>Sedang</v>
      </c>
      <c r="F30" s="7">
        <v>2.64906835</v>
      </c>
      <c r="G30" s="7">
        <v>13.0</v>
      </c>
      <c r="H30" s="7">
        <v>105.962734</v>
      </c>
      <c r="I30" s="7">
        <v>2008.0</v>
      </c>
    </row>
    <row r="31">
      <c r="A31" s="7" t="s">
        <v>61</v>
      </c>
      <c r="B31" s="7" t="s">
        <v>20</v>
      </c>
      <c r="C31" s="7" t="s">
        <v>27</v>
      </c>
      <c r="D31" s="7">
        <v>76.0</v>
      </c>
      <c r="E31" s="7" t="str">
        <f t="shared" si="1"/>
        <v>Tinggi</v>
      </c>
      <c r="F31" s="7">
        <v>9.234453864</v>
      </c>
      <c r="G31" s="7">
        <v>53.0</v>
      </c>
      <c r="H31" s="7">
        <v>609.473955</v>
      </c>
      <c r="I31" s="7">
        <v>2008.0</v>
      </c>
    </row>
    <row r="32">
      <c r="A32" s="7" t="s">
        <v>62</v>
      </c>
      <c r="B32" s="7" t="s">
        <v>20</v>
      </c>
      <c r="C32" s="7" t="s">
        <v>21</v>
      </c>
      <c r="D32" s="7">
        <v>77.0</v>
      </c>
      <c r="E32" s="7" t="str">
        <f t="shared" si="1"/>
        <v>Tinggi</v>
      </c>
      <c r="F32" s="7">
        <v>3.746781818</v>
      </c>
      <c r="G32" s="7">
        <v>63.0</v>
      </c>
      <c r="H32" s="7">
        <v>206.073</v>
      </c>
      <c r="I32" s="7">
        <v>2008.0</v>
      </c>
    </row>
    <row r="33">
      <c r="A33" s="7" t="s">
        <v>63</v>
      </c>
      <c r="B33" s="7" t="s">
        <v>29</v>
      </c>
      <c r="C33" s="7" t="s">
        <v>32</v>
      </c>
      <c r="D33" s="7">
        <v>84.0</v>
      </c>
      <c r="E33" s="7" t="str">
        <f t="shared" si="1"/>
        <v>Tinggi</v>
      </c>
      <c r="F33" s="7">
        <v>8.744705882</v>
      </c>
      <c r="G33" s="7">
        <v>93.0</v>
      </c>
      <c r="H33" s="7">
        <v>148.66</v>
      </c>
      <c r="I33" s="7">
        <v>2011.0</v>
      </c>
    </row>
    <row r="34">
      <c r="A34" s="7" t="s">
        <v>64</v>
      </c>
      <c r="B34" s="7" t="s">
        <v>20</v>
      </c>
      <c r="C34" s="7" t="s">
        <v>25</v>
      </c>
      <c r="D34" s="7">
        <v>70.0</v>
      </c>
      <c r="E34" s="7" t="str">
        <f t="shared" si="1"/>
        <v>Sedang</v>
      </c>
      <c r="F34" s="7">
        <v>0.2528949</v>
      </c>
      <c r="G34" s="7">
        <v>78.0</v>
      </c>
      <c r="H34" s="7">
        <v>15.173694</v>
      </c>
      <c r="I34" s="7">
        <v>2008.0</v>
      </c>
    </row>
    <row r="35">
      <c r="A35" s="7" t="s">
        <v>65</v>
      </c>
      <c r="B35" s="7" t="s">
        <v>29</v>
      </c>
      <c r="C35" s="7" t="s">
        <v>66</v>
      </c>
      <c r="D35" s="7">
        <v>50.0</v>
      </c>
      <c r="E35" s="7" t="str">
        <f t="shared" si="1"/>
        <v>Rendah</v>
      </c>
      <c r="F35" s="7">
        <v>1.9832</v>
      </c>
      <c r="G35" s="7">
        <v>38.0</v>
      </c>
      <c r="H35" s="7">
        <v>39.664</v>
      </c>
      <c r="I35" s="7">
        <v>2011.0</v>
      </c>
    </row>
    <row r="36">
      <c r="A36" s="7" t="s">
        <v>67</v>
      </c>
      <c r="B36" s="7" t="s">
        <v>29</v>
      </c>
      <c r="C36" s="7" t="s">
        <v>37</v>
      </c>
      <c r="D36" s="7">
        <v>70.0</v>
      </c>
      <c r="E36" s="7" t="str">
        <f t="shared" si="1"/>
        <v>Sedang</v>
      </c>
      <c r="F36" s="7">
        <v>3.64741055</v>
      </c>
      <c r="G36" s="7">
        <v>63.0</v>
      </c>
      <c r="H36" s="7">
        <v>145.896422</v>
      </c>
      <c r="I36" s="7">
        <v>2007.0</v>
      </c>
    </row>
    <row r="37">
      <c r="A37" s="7" t="s">
        <v>68</v>
      </c>
      <c r="B37" s="7" t="s">
        <v>24</v>
      </c>
      <c r="C37" s="7" t="s">
        <v>69</v>
      </c>
      <c r="D37" s="7">
        <v>84.0</v>
      </c>
      <c r="E37" s="7" t="str">
        <f t="shared" si="1"/>
        <v>Tinggi</v>
      </c>
      <c r="F37" s="7">
        <v>0.8258</v>
      </c>
      <c r="G37" s="7">
        <v>83.0</v>
      </c>
      <c r="H37" s="7">
        <v>8.258</v>
      </c>
      <c r="I37" s="7">
        <v>2011.0</v>
      </c>
    </row>
    <row r="38">
      <c r="A38" s="7" t="s">
        <v>70</v>
      </c>
      <c r="B38" s="7" t="s">
        <v>29</v>
      </c>
      <c r="C38" s="7" t="s">
        <v>37</v>
      </c>
      <c r="D38" s="7">
        <v>48.0</v>
      </c>
      <c r="E38" s="7" t="str">
        <f t="shared" si="1"/>
        <v>Rendah</v>
      </c>
      <c r="F38" s="7">
        <v>2.536428571</v>
      </c>
      <c r="G38" s="7">
        <v>8.0</v>
      </c>
      <c r="H38" s="7">
        <v>142.04</v>
      </c>
      <c r="I38" s="7">
        <v>2011.0</v>
      </c>
    </row>
    <row r="39">
      <c r="A39" s="7" t="s">
        <v>71</v>
      </c>
      <c r="B39" s="7" t="s">
        <v>20</v>
      </c>
      <c r="C39" s="7" t="s">
        <v>32</v>
      </c>
      <c r="D39" s="7">
        <v>67.0</v>
      </c>
      <c r="E39" s="7" t="str">
        <f t="shared" si="1"/>
        <v>Sedang</v>
      </c>
      <c r="F39" s="7">
        <v>3.3527293</v>
      </c>
      <c r="G39" s="7">
        <v>73.0</v>
      </c>
      <c r="H39" s="7">
        <v>33.527293</v>
      </c>
      <c r="I39" s="7">
        <v>2008.0</v>
      </c>
    </row>
    <row r="40">
      <c r="A40" s="7" t="s">
        <v>72</v>
      </c>
      <c r="B40" s="7" t="s">
        <v>20</v>
      </c>
      <c r="C40" s="7" t="s">
        <v>73</v>
      </c>
      <c r="D40" s="7">
        <v>64.0</v>
      </c>
      <c r="E40" s="7" t="str">
        <f t="shared" si="1"/>
        <v>Sedang</v>
      </c>
      <c r="F40" s="7">
        <v>3.307180357</v>
      </c>
      <c r="G40" s="7">
        <v>39.0</v>
      </c>
      <c r="H40" s="7">
        <v>92.60105</v>
      </c>
      <c r="I40" s="7">
        <v>2007.0</v>
      </c>
    </row>
    <row r="41">
      <c r="A41" s="7" t="s">
        <v>74</v>
      </c>
      <c r="B41" s="7" t="s">
        <v>24</v>
      </c>
      <c r="C41" s="7" t="s">
        <v>25</v>
      </c>
      <c r="D41" s="7">
        <v>66.0</v>
      </c>
      <c r="E41" s="7" t="str">
        <f t="shared" si="1"/>
        <v>Sedang</v>
      </c>
      <c r="F41" s="7">
        <v>2.14</v>
      </c>
      <c r="G41" s="7">
        <v>34.0</v>
      </c>
      <c r="H41" s="7">
        <v>10.7</v>
      </c>
      <c r="I41" s="7">
        <v>2009.0</v>
      </c>
    </row>
    <row r="42">
      <c r="A42" s="7" t="s">
        <v>75</v>
      </c>
      <c r="B42" s="7" t="s">
        <v>29</v>
      </c>
      <c r="C42" s="7" t="s">
        <v>25</v>
      </c>
      <c r="D42" s="7">
        <v>54.0</v>
      </c>
      <c r="E42" s="7" t="str">
        <f t="shared" si="1"/>
        <v>Sedang</v>
      </c>
      <c r="F42" s="7">
        <v>3.682733333</v>
      </c>
      <c r="G42" s="7">
        <v>37.0</v>
      </c>
      <c r="H42" s="7">
        <v>55.241</v>
      </c>
      <c r="I42" s="7">
        <v>2011.0</v>
      </c>
    </row>
    <row r="43">
      <c r="A43" s="7" t="s">
        <v>76</v>
      </c>
      <c r="B43" s="7" t="s">
        <v>20</v>
      </c>
      <c r="C43" s="7" t="s">
        <v>25</v>
      </c>
      <c r="D43" s="7">
        <v>49.0</v>
      </c>
      <c r="E43" s="7" t="str">
        <f t="shared" si="1"/>
        <v>Rendah</v>
      </c>
      <c r="G43" s="7">
        <v>14.0</v>
      </c>
      <c r="H43" s="7">
        <v>21.37</v>
      </c>
      <c r="I43" s="7">
        <v>2010.0</v>
      </c>
    </row>
    <row r="44">
      <c r="A44" s="7" t="s">
        <v>77</v>
      </c>
      <c r="B44" s="7" t="s">
        <v>20</v>
      </c>
      <c r="C44" s="7" t="s">
        <v>78</v>
      </c>
      <c r="D44" s="7">
        <v>47.0</v>
      </c>
      <c r="E44" s="7" t="str">
        <f t="shared" si="1"/>
        <v>Rendah</v>
      </c>
      <c r="F44" s="7">
        <v>2.071</v>
      </c>
      <c r="G44" s="7">
        <v>15.0</v>
      </c>
      <c r="H44" s="7">
        <v>20.71</v>
      </c>
      <c r="I44" s="7">
        <v>2008.0</v>
      </c>
    </row>
    <row r="45">
      <c r="A45" s="7" t="s">
        <v>79</v>
      </c>
      <c r="B45" s="7" t="s">
        <v>29</v>
      </c>
      <c r="C45" s="7" t="s">
        <v>25</v>
      </c>
      <c r="D45" s="7">
        <v>82.0</v>
      </c>
      <c r="E45" s="7" t="str">
        <f t="shared" si="1"/>
        <v>Tinggi</v>
      </c>
      <c r="F45" s="7">
        <v>5.103116833</v>
      </c>
      <c r="G45" s="7">
        <v>21.0</v>
      </c>
      <c r="H45" s="7">
        <v>153.093505</v>
      </c>
      <c r="I45" s="7">
        <v>2007.0</v>
      </c>
    </row>
    <row r="46">
      <c r="A46" s="7" t="s">
        <v>80</v>
      </c>
      <c r="B46" s="7" t="s">
        <v>20</v>
      </c>
      <c r="C46" s="7" t="s">
        <v>55</v>
      </c>
      <c r="D46" s="7">
        <v>74.0</v>
      </c>
      <c r="E46" s="7" t="str">
        <f t="shared" si="1"/>
        <v>Tinggi</v>
      </c>
      <c r="F46" s="7">
        <v>1.382799733</v>
      </c>
      <c r="G46" s="7">
        <v>52.0</v>
      </c>
      <c r="H46" s="7">
        <v>20.741996</v>
      </c>
      <c r="I46" s="7">
        <v>2008.0</v>
      </c>
    </row>
    <row r="47">
      <c r="A47" s="7" t="s">
        <v>81</v>
      </c>
      <c r="B47" s="7" t="s">
        <v>24</v>
      </c>
      <c r="C47" s="7" t="s">
        <v>25</v>
      </c>
      <c r="D47" s="7">
        <v>61.0</v>
      </c>
      <c r="E47" s="7" t="str">
        <f t="shared" si="1"/>
        <v>Sedang</v>
      </c>
      <c r="F47" s="7">
        <v>1.384166667</v>
      </c>
      <c r="G47" s="7">
        <v>85.0</v>
      </c>
      <c r="H47" s="7">
        <v>16.61</v>
      </c>
      <c r="I47" s="7">
        <v>2008.0</v>
      </c>
    </row>
    <row r="48">
      <c r="A48" s="7" t="s">
        <v>82</v>
      </c>
      <c r="B48" s="7" t="s">
        <v>24</v>
      </c>
      <c r="C48" s="7" t="s">
        <v>55</v>
      </c>
      <c r="D48" s="7">
        <v>70.0</v>
      </c>
      <c r="E48" s="7" t="str">
        <f t="shared" si="1"/>
        <v>Sedang</v>
      </c>
      <c r="F48" s="7">
        <v>3.49125</v>
      </c>
      <c r="G48" s="7">
        <v>28.0</v>
      </c>
      <c r="H48" s="7">
        <v>55.86</v>
      </c>
      <c r="I48" s="7">
        <v>2010.0</v>
      </c>
    </row>
    <row r="49">
      <c r="A49" s="7" t="s">
        <v>83</v>
      </c>
      <c r="B49" s="7" t="s">
        <v>20</v>
      </c>
      <c r="C49" s="7" t="s">
        <v>37</v>
      </c>
      <c r="D49" s="7">
        <v>81.0</v>
      </c>
      <c r="E49" s="7" t="str">
        <f t="shared" si="1"/>
        <v>Tinggi</v>
      </c>
      <c r="F49" s="7">
        <v>7.221795791</v>
      </c>
      <c r="G49" s="7">
        <v>49.0</v>
      </c>
      <c r="H49" s="7">
        <v>415.253258</v>
      </c>
      <c r="I49" s="7">
        <v>2008.0</v>
      </c>
    </row>
    <row r="50">
      <c r="A50" s="7" t="s">
        <v>84</v>
      </c>
      <c r="B50" s="7" t="s">
        <v>20</v>
      </c>
      <c r="C50" s="7" t="s">
        <v>37</v>
      </c>
      <c r="D50" s="7">
        <v>49.0</v>
      </c>
      <c r="E50" s="7" t="str">
        <f t="shared" si="1"/>
        <v>Rendah</v>
      </c>
      <c r="F50" s="7">
        <v>2.8835</v>
      </c>
      <c r="G50" s="7">
        <v>15.0</v>
      </c>
      <c r="H50" s="7">
        <v>288.35</v>
      </c>
      <c r="I50" s="7">
        <v>2010.0</v>
      </c>
    </row>
    <row r="51">
      <c r="A51" s="7" t="s">
        <v>85</v>
      </c>
      <c r="B51" s="7" t="s">
        <v>20</v>
      </c>
      <c r="C51" s="7" t="s">
        <v>86</v>
      </c>
      <c r="D51" s="7">
        <v>60.0</v>
      </c>
      <c r="E51" s="7" t="str">
        <f t="shared" si="1"/>
        <v>Sedang</v>
      </c>
      <c r="F51" s="7">
        <v>2.4405</v>
      </c>
      <c r="G51" s="7">
        <v>57.0</v>
      </c>
      <c r="H51" s="7">
        <v>48.81</v>
      </c>
      <c r="I51" s="7">
        <v>2010.0</v>
      </c>
    </row>
    <row r="52">
      <c r="A52" s="7" t="s">
        <v>87</v>
      </c>
      <c r="B52" s="7" t="s">
        <v>29</v>
      </c>
      <c r="C52" s="7" t="s">
        <v>25</v>
      </c>
      <c r="E52" s="7" t="str">
        <f t="shared" si="1"/>
        <v>Rendah</v>
      </c>
      <c r="F52" s="7">
        <v>1.719514286</v>
      </c>
      <c r="H52" s="7">
        <v>60.183</v>
      </c>
      <c r="I52" s="7">
        <v>2011.0</v>
      </c>
    </row>
    <row r="53">
      <c r="A53" s="7" t="s">
        <v>88</v>
      </c>
      <c r="B53" s="7" t="s">
        <v>40</v>
      </c>
      <c r="C53" s="7" t="s">
        <v>34</v>
      </c>
      <c r="D53" s="7">
        <v>88.0</v>
      </c>
      <c r="E53" s="7" t="str">
        <f t="shared" si="1"/>
        <v>Tinggi</v>
      </c>
      <c r="F53" s="7">
        <v>1.365692308</v>
      </c>
      <c r="G53" s="7">
        <v>89.0</v>
      </c>
      <c r="H53" s="7">
        <v>355.08</v>
      </c>
      <c r="I53" s="7">
        <v>2010.0</v>
      </c>
    </row>
    <row r="54">
      <c r="A54" s="7" t="s">
        <v>89</v>
      </c>
      <c r="B54" s="7" t="s">
        <v>20</v>
      </c>
      <c r="C54" s="7" t="s">
        <v>90</v>
      </c>
      <c r="D54" s="7">
        <v>47.0</v>
      </c>
      <c r="E54" s="7" t="str">
        <f t="shared" si="1"/>
        <v>Rendah</v>
      </c>
      <c r="F54" s="7">
        <v>2.202571429</v>
      </c>
      <c r="G54" s="7">
        <v>20.0</v>
      </c>
      <c r="H54" s="7">
        <v>77.09</v>
      </c>
      <c r="I54" s="7">
        <v>2010.0</v>
      </c>
    </row>
    <row r="55">
      <c r="A55" s="7" t="s">
        <v>91</v>
      </c>
      <c r="B55" s="7" t="s">
        <v>92</v>
      </c>
      <c r="C55" s="7" t="s">
        <v>37</v>
      </c>
      <c r="D55" s="7">
        <v>81.0</v>
      </c>
      <c r="E55" s="7" t="str">
        <f t="shared" si="1"/>
        <v>Tinggi</v>
      </c>
      <c r="F55" s="7">
        <v>1.78394375</v>
      </c>
      <c r="G55" s="7">
        <v>73.0</v>
      </c>
      <c r="H55" s="7">
        <v>285.431</v>
      </c>
      <c r="I55" s="7">
        <v>2008.0</v>
      </c>
    </row>
    <row r="56">
      <c r="A56" s="7" t="s">
        <v>93</v>
      </c>
      <c r="B56" s="7" t="s">
        <v>24</v>
      </c>
      <c r="C56" s="7" t="s">
        <v>86</v>
      </c>
      <c r="D56" s="7">
        <v>68.0</v>
      </c>
      <c r="E56" s="7" t="str">
        <f t="shared" si="1"/>
        <v>Sedang</v>
      </c>
      <c r="F56" s="7">
        <v>3.207850222</v>
      </c>
      <c r="G56" s="7">
        <v>60.0</v>
      </c>
      <c r="H56" s="7">
        <v>43.305978</v>
      </c>
      <c r="I56" s="7">
        <v>2008.0</v>
      </c>
    </row>
    <row r="57">
      <c r="A57" s="7" t="s">
        <v>94</v>
      </c>
      <c r="B57" s="7" t="s">
        <v>20</v>
      </c>
      <c r="C57" s="7" t="s">
        <v>86</v>
      </c>
      <c r="D57" s="7">
        <v>41.0</v>
      </c>
      <c r="E57" s="7" t="str">
        <f t="shared" si="1"/>
        <v>Rendah</v>
      </c>
      <c r="F57" s="7">
        <v>2.129444167</v>
      </c>
      <c r="G57" s="7">
        <v>30.0</v>
      </c>
      <c r="H57" s="7">
        <v>127.76665</v>
      </c>
      <c r="I57" s="7">
        <v>2007.0</v>
      </c>
    </row>
    <row r="58">
      <c r="A58" s="7" t="s">
        <v>95</v>
      </c>
      <c r="B58" s="7" t="s">
        <v>20</v>
      </c>
      <c r="C58" s="7" t="s">
        <v>37</v>
      </c>
      <c r="D58" s="7">
        <v>47.0</v>
      </c>
      <c r="E58" s="7" t="str">
        <f t="shared" si="1"/>
        <v>Rendah</v>
      </c>
      <c r="F58" s="7">
        <v>1.751351351</v>
      </c>
      <c r="G58" s="7">
        <v>56.0</v>
      </c>
      <c r="H58" s="7">
        <v>32.4</v>
      </c>
      <c r="I58" s="7">
        <v>2009.0</v>
      </c>
    </row>
    <row r="59">
      <c r="A59" s="7" t="s">
        <v>96</v>
      </c>
      <c r="B59" s="7" t="s">
        <v>20</v>
      </c>
      <c r="C59" s="7" t="s">
        <v>34</v>
      </c>
      <c r="D59" s="7">
        <v>74.0</v>
      </c>
      <c r="E59" s="7" t="str">
        <f t="shared" si="1"/>
        <v>Tinggi</v>
      </c>
      <c r="F59" s="7">
        <v>7.8675</v>
      </c>
      <c r="G59" s="7">
        <v>43.0</v>
      </c>
      <c r="H59" s="7">
        <v>314.7</v>
      </c>
      <c r="I59" s="7">
        <v>2009.0</v>
      </c>
    </row>
    <row r="60">
      <c r="A60" s="7" t="s">
        <v>97</v>
      </c>
      <c r="B60" s="7" t="s">
        <v>24</v>
      </c>
      <c r="C60" s="7" t="s">
        <v>86</v>
      </c>
      <c r="D60" s="7">
        <v>65.0</v>
      </c>
      <c r="E60" s="7" t="str">
        <f t="shared" si="1"/>
        <v>Sedang</v>
      </c>
      <c r="F60" s="7">
        <v>2.598205128</v>
      </c>
      <c r="G60" s="7">
        <v>38.0</v>
      </c>
      <c r="H60" s="7">
        <v>101.33</v>
      </c>
      <c r="I60" s="7">
        <v>2009.0</v>
      </c>
    </row>
    <row r="61">
      <c r="A61" s="7" t="s">
        <v>98</v>
      </c>
      <c r="B61" s="7" t="s">
        <v>24</v>
      </c>
      <c r="C61" s="7" t="s">
        <v>55</v>
      </c>
      <c r="D61" s="7">
        <v>78.0</v>
      </c>
      <c r="E61" s="7" t="str">
        <f t="shared" si="1"/>
        <v>Tinggi</v>
      </c>
      <c r="F61" s="7">
        <v>14.1964</v>
      </c>
      <c r="G61" s="7">
        <v>27.0</v>
      </c>
      <c r="H61" s="7">
        <v>709.82</v>
      </c>
      <c r="I61" s="7">
        <v>2009.0</v>
      </c>
    </row>
    <row r="62">
      <c r="A62" s="7" t="s">
        <v>99</v>
      </c>
      <c r="B62" s="7" t="s">
        <v>20</v>
      </c>
      <c r="C62" s="7" t="s">
        <v>25</v>
      </c>
      <c r="D62" s="7">
        <v>68.0</v>
      </c>
      <c r="E62" s="7" t="str">
        <f t="shared" si="1"/>
        <v>Sedang</v>
      </c>
      <c r="F62" s="7">
        <v>5.402631579</v>
      </c>
      <c r="G62" s="7">
        <v>14.0</v>
      </c>
      <c r="H62" s="7">
        <v>205.3</v>
      </c>
      <c r="I62" s="7">
        <v>2009.0</v>
      </c>
    </row>
    <row r="63">
      <c r="A63" s="7" t="s">
        <v>100</v>
      </c>
      <c r="B63" s="7" t="s">
        <v>29</v>
      </c>
      <c r="C63" s="7" t="s">
        <v>55</v>
      </c>
      <c r="D63" s="7">
        <v>82.0</v>
      </c>
      <c r="E63" s="7" t="str">
        <f t="shared" si="1"/>
        <v>Tinggi</v>
      </c>
      <c r="F63" s="7">
        <v>10.18002703</v>
      </c>
      <c r="G63" s="7">
        <v>49.0</v>
      </c>
      <c r="H63" s="7">
        <v>376.661</v>
      </c>
      <c r="I63" s="7">
        <v>2008.0</v>
      </c>
    </row>
    <row r="64">
      <c r="A64" s="7" t="s">
        <v>101</v>
      </c>
      <c r="B64" s="7" t="s">
        <v>29</v>
      </c>
      <c r="C64" s="7" t="s">
        <v>25</v>
      </c>
      <c r="D64" s="7">
        <v>68.0</v>
      </c>
      <c r="E64" s="7" t="str">
        <f t="shared" si="1"/>
        <v>Sedang</v>
      </c>
      <c r="F64" s="7">
        <v>6.383363636</v>
      </c>
      <c r="G64" s="7">
        <v>26.0</v>
      </c>
      <c r="H64" s="7">
        <v>702.17</v>
      </c>
      <c r="I64" s="7">
        <v>2011.0</v>
      </c>
    </row>
    <row r="65">
      <c r="A65" s="7" t="s">
        <v>102</v>
      </c>
      <c r="B65" s="7" t="s">
        <v>29</v>
      </c>
      <c r="C65" s="7" t="s">
        <v>25</v>
      </c>
      <c r="D65" s="7">
        <v>47.0</v>
      </c>
      <c r="E65" s="7" t="str">
        <f t="shared" si="1"/>
        <v>Rendah</v>
      </c>
      <c r="F65" s="7">
        <v>3.7241924</v>
      </c>
      <c r="G65" s="7">
        <v>46.0</v>
      </c>
      <c r="H65" s="7">
        <v>55.862886</v>
      </c>
      <c r="I65" s="7">
        <v>2007.0</v>
      </c>
    </row>
    <row r="66">
      <c r="A66" s="7" t="s">
        <v>103</v>
      </c>
      <c r="B66" s="7" t="s">
        <v>20</v>
      </c>
      <c r="C66" s="7" t="s">
        <v>37</v>
      </c>
      <c r="D66" s="7">
        <v>54.0</v>
      </c>
      <c r="E66" s="7" t="str">
        <f t="shared" si="1"/>
        <v>Sedang</v>
      </c>
      <c r="F66" s="7">
        <v>4.184038462</v>
      </c>
      <c r="G66" s="7">
        <v>17.0</v>
      </c>
      <c r="H66" s="7">
        <v>217.57</v>
      </c>
      <c r="I66" s="7">
        <v>2010.0</v>
      </c>
    </row>
    <row r="67">
      <c r="A67" s="7" t="s">
        <v>104</v>
      </c>
      <c r="B67" s="7" t="s">
        <v>29</v>
      </c>
      <c r="C67" s="7" t="s">
        <v>25</v>
      </c>
      <c r="D67" s="7">
        <v>53.0</v>
      </c>
      <c r="E67" s="7" t="str">
        <f t="shared" si="1"/>
        <v>Sedang</v>
      </c>
      <c r="F67" s="7">
        <v>0.005</v>
      </c>
      <c r="G67" s="7">
        <v>6.0</v>
      </c>
      <c r="H67" s="7">
        <v>0.025</v>
      </c>
      <c r="I67" s="7">
        <v>2011.0</v>
      </c>
    </row>
    <row r="68">
      <c r="A68" s="7" t="s">
        <v>105</v>
      </c>
      <c r="B68" s="7" t="s">
        <v>29</v>
      </c>
      <c r="C68" s="7" t="s">
        <v>25</v>
      </c>
      <c r="D68" s="7">
        <v>67.0</v>
      </c>
      <c r="E68" s="7" t="str">
        <f t="shared" si="1"/>
        <v>Sedang</v>
      </c>
      <c r="F68" s="7">
        <v>11.0897415</v>
      </c>
      <c r="G68" s="7">
        <v>89.0</v>
      </c>
      <c r="H68" s="7">
        <v>22.179483</v>
      </c>
      <c r="I68" s="7">
        <v>2007.0</v>
      </c>
    </row>
    <row r="69">
      <c r="A69" s="7" t="s">
        <v>106</v>
      </c>
      <c r="B69" s="7" t="s">
        <v>40</v>
      </c>
      <c r="C69" s="7" t="s">
        <v>34</v>
      </c>
      <c r="D69" s="7">
        <v>89.0</v>
      </c>
      <c r="E69" s="7" t="str">
        <f t="shared" si="1"/>
        <v>Tinggi</v>
      </c>
      <c r="F69" s="7">
        <v>2.896019067</v>
      </c>
      <c r="G69" s="7">
        <v>96.0</v>
      </c>
      <c r="H69" s="7">
        <v>521.283432</v>
      </c>
      <c r="I69" s="7">
        <v>2008.0</v>
      </c>
    </row>
    <row r="70">
      <c r="A70" s="7" t="s">
        <v>107</v>
      </c>
      <c r="B70" s="7" t="s">
        <v>24</v>
      </c>
      <c r="C70" s="7" t="s">
        <v>66</v>
      </c>
      <c r="D70" s="7">
        <v>72.0</v>
      </c>
      <c r="E70" s="7" t="str">
        <f t="shared" si="1"/>
        <v>Tinggi</v>
      </c>
      <c r="F70" s="7">
        <v>3.081421053</v>
      </c>
      <c r="G70" s="7">
        <v>60.0</v>
      </c>
      <c r="H70" s="7">
        <v>117.094</v>
      </c>
      <c r="I70" s="7">
        <v>2011.0</v>
      </c>
    </row>
    <row r="71">
      <c r="A71" s="7" t="s">
        <v>108</v>
      </c>
      <c r="B71" s="7" t="s">
        <v>20</v>
      </c>
      <c r="C71" s="7" t="s">
        <v>21</v>
      </c>
      <c r="D71" s="7">
        <v>72.0</v>
      </c>
      <c r="E71" s="7" t="str">
        <f t="shared" si="1"/>
        <v>Tinggi</v>
      </c>
      <c r="F71" s="7">
        <v>6.267647029</v>
      </c>
      <c r="G71" s="7">
        <v>28.0</v>
      </c>
      <c r="H71" s="7">
        <v>219.367646</v>
      </c>
      <c r="I71" s="7">
        <v>2008.0</v>
      </c>
    </row>
    <row r="72">
      <c r="A72" s="7" t="s">
        <v>109</v>
      </c>
      <c r="B72" s="7" t="s">
        <v>20</v>
      </c>
      <c r="C72" s="7" t="s">
        <v>34</v>
      </c>
      <c r="D72" s="7">
        <v>44.0</v>
      </c>
      <c r="E72" s="7" t="str">
        <f t="shared" si="1"/>
        <v>Rendah</v>
      </c>
      <c r="G72" s="7">
        <v>15.0</v>
      </c>
      <c r="H72" s="7">
        <v>43.04</v>
      </c>
      <c r="I72" s="7">
        <v>2010.0</v>
      </c>
    </row>
    <row r="73">
      <c r="A73" s="7" t="s">
        <v>110</v>
      </c>
      <c r="B73" s="7" t="s">
        <v>20</v>
      </c>
      <c r="C73" s="7" t="s">
        <v>25</v>
      </c>
      <c r="D73" s="7">
        <v>35.0</v>
      </c>
      <c r="E73" s="7" t="str">
        <f t="shared" si="1"/>
        <v>Rendah</v>
      </c>
      <c r="F73" s="7">
        <v>1.211818182</v>
      </c>
      <c r="G73" s="7">
        <v>43.0</v>
      </c>
      <c r="H73" s="7">
        <v>26.66</v>
      </c>
      <c r="I73" s="7">
        <v>2010.0</v>
      </c>
    </row>
    <row r="74">
      <c r="A74" s="7" t="s">
        <v>111</v>
      </c>
      <c r="B74" s="7" t="s">
        <v>20</v>
      </c>
      <c r="C74" s="7" t="s">
        <v>69</v>
      </c>
      <c r="D74" s="7">
        <v>52.0</v>
      </c>
      <c r="E74" s="7" t="str">
        <f t="shared" si="1"/>
        <v>Sedang</v>
      </c>
      <c r="F74" s="7">
        <v>1.09</v>
      </c>
      <c r="G74" s="7">
        <v>68.0</v>
      </c>
      <c r="H74" s="7">
        <v>19.62</v>
      </c>
      <c r="I74" s="7">
        <v>2010.0</v>
      </c>
    </row>
    <row r="75">
      <c r="A75" s="7" t="s">
        <v>112</v>
      </c>
      <c r="B75" s="7" t="s">
        <v>29</v>
      </c>
      <c r="C75" s="7" t="s">
        <v>69</v>
      </c>
      <c r="D75" s="7">
        <v>70.0</v>
      </c>
      <c r="E75" s="7" t="str">
        <f t="shared" si="1"/>
        <v>Sedang</v>
      </c>
      <c r="F75" s="7">
        <v>1.747541667</v>
      </c>
      <c r="G75" s="7">
        <v>64.0</v>
      </c>
      <c r="H75" s="7">
        <v>41.941</v>
      </c>
      <c r="I75" s="7">
        <v>2008.0</v>
      </c>
    </row>
  </sheetData>
  <customSheetViews>
    <customSheetView guid="{65C11FAF-CCDF-43DD-9216-AFA8411E58DC}" filter="1" showAutoFilter="1">
      <autoFilter ref="$A$1:$I$75"/>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75.5"/>
  </cols>
  <sheetData>
    <row r="1" ht="42.0" customHeight="1">
      <c r="A1" s="1" t="s">
        <v>0</v>
      </c>
      <c r="B1" s="2" t="s">
        <v>1</v>
      </c>
    </row>
    <row r="2">
      <c r="A2" s="1" t="s">
        <v>2</v>
      </c>
      <c r="B2" s="3" t="s">
        <v>3</v>
      </c>
    </row>
    <row r="3">
      <c r="A3" s="4" t="s">
        <v>4</v>
      </c>
      <c r="B3" s="3" t="s">
        <v>5</v>
      </c>
    </row>
    <row r="4">
      <c r="A4" s="5"/>
      <c r="B4" s="3" t="s">
        <v>6</v>
      </c>
    </row>
    <row r="5">
      <c r="A5" s="5"/>
      <c r="B5" s="3" t="s">
        <v>7</v>
      </c>
    </row>
    <row r="6">
      <c r="A6" s="5"/>
      <c r="B6" s="3" t="s">
        <v>8</v>
      </c>
    </row>
    <row r="7">
      <c r="A7" s="6"/>
      <c r="B7" s="3" t="s">
        <v>9</v>
      </c>
    </row>
  </sheetData>
  <mergeCells count="1">
    <mergeCell ref="A3:A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5" width="24.88"/>
    <col customWidth="1" min="6" max="6" width="15.38"/>
    <col customWidth="1" min="7" max="10" width="24.88"/>
    <col customWidth="1" min="11" max="11" width="22.63"/>
    <col customWidth="1" min="12" max="12" width="26.25"/>
  </cols>
  <sheetData>
    <row r="1">
      <c r="A1" s="8" t="s">
        <v>113</v>
      </c>
      <c r="B1" s="9"/>
      <c r="C1" s="9"/>
      <c r="D1" s="9"/>
      <c r="E1" s="9"/>
      <c r="F1" s="9"/>
      <c r="G1" s="9"/>
      <c r="H1" s="10"/>
      <c r="I1" s="11"/>
      <c r="J1" s="12"/>
      <c r="K1" s="12"/>
      <c r="L1" s="12"/>
      <c r="M1" s="12"/>
      <c r="N1" s="12"/>
      <c r="O1" s="12"/>
      <c r="P1" s="12"/>
    </row>
    <row r="2">
      <c r="A2" s="13"/>
      <c r="B2" s="14"/>
      <c r="C2" s="14"/>
      <c r="D2" s="14"/>
      <c r="E2" s="14"/>
      <c r="F2" s="14"/>
      <c r="G2" s="14"/>
      <c r="H2" s="15"/>
      <c r="I2" s="11"/>
      <c r="J2" s="12"/>
      <c r="K2" s="12"/>
      <c r="L2" s="12"/>
      <c r="M2" s="12"/>
      <c r="N2" s="12"/>
      <c r="O2" s="12"/>
      <c r="P2" s="12"/>
    </row>
    <row r="3">
      <c r="A3" s="16"/>
      <c r="B3" s="9"/>
      <c r="C3" s="9"/>
      <c r="D3" s="9"/>
      <c r="E3" s="9"/>
      <c r="F3" s="9"/>
      <c r="G3" s="9"/>
      <c r="H3" s="10"/>
      <c r="I3" s="17"/>
      <c r="J3" s="18" t="s">
        <v>114</v>
      </c>
      <c r="K3" s="18" t="s">
        <v>17</v>
      </c>
      <c r="L3" s="18" t="s">
        <v>115</v>
      </c>
      <c r="M3" s="19" t="s">
        <v>116</v>
      </c>
    </row>
    <row r="4">
      <c r="A4" s="20"/>
      <c r="H4" s="21"/>
      <c r="I4" s="17"/>
      <c r="J4" s="22">
        <v>336.65429555699984</v>
      </c>
      <c r="K4" s="23">
        <v>10090.04644</v>
      </c>
      <c r="L4" s="23">
        <v>74.0</v>
      </c>
      <c r="M4" s="24">
        <v>5.0</v>
      </c>
    </row>
    <row r="5">
      <c r="A5" s="20"/>
      <c r="H5" s="21"/>
      <c r="I5" s="17"/>
      <c r="K5" s="23"/>
      <c r="L5" s="25"/>
    </row>
    <row r="6">
      <c r="A6" s="20"/>
      <c r="H6" s="21"/>
      <c r="I6" s="17"/>
      <c r="K6" s="23"/>
      <c r="L6" s="25"/>
    </row>
    <row r="7">
      <c r="A7" s="13"/>
      <c r="B7" s="14"/>
      <c r="C7" s="14"/>
      <c r="D7" s="14"/>
      <c r="E7" s="14"/>
      <c r="F7" s="14"/>
      <c r="G7" s="14"/>
      <c r="H7" s="15"/>
      <c r="I7" s="17"/>
      <c r="J7" s="26" t="s">
        <v>117</v>
      </c>
      <c r="K7" s="23"/>
      <c r="L7" s="25"/>
    </row>
    <row r="8">
      <c r="A8" s="27"/>
      <c r="B8" s="9"/>
      <c r="C8" s="9"/>
      <c r="D8" s="9"/>
      <c r="E8" s="9"/>
      <c r="F8" s="9"/>
      <c r="G8" s="9"/>
      <c r="H8" s="10"/>
      <c r="I8" s="28"/>
    </row>
    <row r="9">
      <c r="A9" s="20"/>
      <c r="H9" s="21"/>
      <c r="I9" s="28"/>
    </row>
    <row r="10">
      <c r="A10" s="20"/>
      <c r="H10" s="21"/>
      <c r="I10" s="28"/>
    </row>
    <row r="11">
      <c r="A11" s="20"/>
      <c r="H11" s="21"/>
      <c r="I11" s="28"/>
    </row>
    <row r="12">
      <c r="A12" s="20"/>
      <c r="H12" s="21"/>
      <c r="I12" s="28"/>
    </row>
    <row r="13">
      <c r="A13" s="20"/>
      <c r="H13" s="21"/>
      <c r="I13" s="28"/>
    </row>
    <row r="14">
      <c r="A14" s="20"/>
      <c r="H14" s="21"/>
      <c r="I14" s="28"/>
    </row>
    <row r="15">
      <c r="A15" s="20"/>
      <c r="H15" s="21"/>
      <c r="I15" s="28"/>
      <c r="K15" s="23"/>
      <c r="L15" s="25"/>
    </row>
    <row r="16">
      <c r="A16" s="20"/>
      <c r="H16" s="21"/>
      <c r="I16" s="28"/>
      <c r="K16" s="23"/>
      <c r="L16" s="25"/>
    </row>
    <row r="17">
      <c r="A17" s="20"/>
      <c r="H17" s="21"/>
      <c r="I17" s="28"/>
      <c r="J17" s="26" t="s">
        <v>118</v>
      </c>
      <c r="K17" s="23"/>
      <c r="L17" s="25"/>
    </row>
    <row r="18">
      <c r="A18" s="20"/>
      <c r="H18" s="21"/>
      <c r="I18" s="28"/>
    </row>
    <row r="19">
      <c r="A19" s="20"/>
      <c r="H19" s="21"/>
      <c r="I19" s="28"/>
    </row>
    <row r="20">
      <c r="A20" s="20"/>
      <c r="H20" s="21"/>
      <c r="I20" s="28"/>
    </row>
    <row r="21">
      <c r="A21" s="20"/>
      <c r="H21" s="21"/>
      <c r="I21" s="28"/>
    </row>
    <row r="22">
      <c r="A22" s="20"/>
      <c r="H22" s="21"/>
      <c r="I22" s="28"/>
    </row>
    <row r="23">
      <c r="A23" s="20"/>
      <c r="H23" s="21"/>
      <c r="I23" s="28"/>
    </row>
    <row r="24">
      <c r="A24" s="20"/>
      <c r="H24" s="21"/>
      <c r="I24" s="28"/>
    </row>
    <row r="25">
      <c r="A25" s="20"/>
      <c r="H25" s="21"/>
      <c r="I25" s="28"/>
    </row>
    <row r="26">
      <c r="A26" s="13"/>
      <c r="B26" s="14"/>
      <c r="C26" s="14"/>
      <c r="D26" s="14"/>
      <c r="E26" s="14"/>
      <c r="F26" s="14"/>
      <c r="G26" s="14"/>
      <c r="H26" s="15"/>
      <c r="I26" s="28"/>
    </row>
    <row r="27">
      <c r="A27" s="27"/>
      <c r="B27" s="9"/>
      <c r="C27" s="9"/>
      <c r="D27" s="9"/>
      <c r="E27" s="9"/>
      <c r="F27" s="9"/>
      <c r="G27" s="9"/>
      <c r="H27" s="10"/>
      <c r="I27" s="28"/>
    </row>
    <row r="28">
      <c r="A28" s="20"/>
      <c r="H28" s="21"/>
      <c r="I28" s="28"/>
    </row>
    <row r="29">
      <c r="A29" s="20"/>
      <c r="H29" s="21"/>
      <c r="I29" s="28"/>
    </row>
    <row r="30">
      <c r="A30" s="20"/>
      <c r="H30" s="21"/>
      <c r="I30" s="28"/>
    </row>
    <row r="31">
      <c r="A31" s="20"/>
      <c r="H31" s="21"/>
      <c r="I31" s="28"/>
    </row>
    <row r="32">
      <c r="A32" s="20"/>
      <c r="H32" s="21"/>
      <c r="I32" s="28"/>
    </row>
    <row r="33">
      <c r="A33" s="20"/>
      <c r="H33" s="21"/>
      <c r="I33" s="28"/>
      <c r="K33" s="23"/>
      <c r="L33" s="25"/>
    </row>
    <row r="34">
      <c r="A34" s="20"/>
      <c r="H34" s="21"/>
      <c r="I34" s="28"/>
    </row>
    <row r="35">
      <c r="A35" s="20"/>
      <c r="H35" s="21"/>
      <c r="I35" s="28"/>
      <c r="J35" s="26" t="s">
        <v>121</v>
      </c>
    </row>
    <row r="36">
      <c r="A36" s="20"/>
      <c r="H36" s="21"/>
      <c r="I36" s="28"/>
    </row>
    <row r="37">
      <c r="A37" s="20"/>
      <c r="H37" s="21"/>
      <c r="I37" s="28"/>
    </row>
    <row r="38">
      <c r="A38" s="20"/>
      <c r="H38" s="21"/>
      <c r="I38" s="28"/>
    </row>
    <row r="39">
      <c r="A39" s="20"/>
      <c r="H39" s="21"/>
      <c r="I39" s="28"/>
    </row>
    <row r="40">
      <c r="A40" s="20"/>
      <c r="H40" s="21"/>
      <c r="I40" s="28"/>
    </row>
    <row r="41">
      <c r="A41" s="20"/>
      <c r="H41" s="21"/>
      <c r="I41" s="28"/>
    </row>
    <row r="42">
      <c r="A42" s="20"/>
      <c r="H42" s="21"/>
      <c r="I42" s="28"/>
      <c r="J42" s="26" t="s">
        <v>127</v>
      </c>
    </row>
    <row r="43">
      <c r="A43" s="20"/>
      <c r="H43" s="21"/>
      <c r="I43" s="28"/>
    </row>
    <row r="44">
      <c r="A44" s="13"/>
      <c r="B44" s="14"/>
      <c r="C44" s="14"/>
      <c r="D44" s="14"/>
      <c r="E44" s="14"/>
      <c r="F44" s="14"/>
      <c r="G44" s="14"/>
      <c r="H44" s="15"/>
      <c r="I44" s="28"/>
    </row>
    <row r="45">
      <c r="A45" s="31" t="s">
        <v>128</v>
      </c>
      <c r="B45" s="9"/>
      <c r="C45" s="9"/>
      <c r="D45" s="9"/>
      <c r="E45" s="9"/>
      <c r="F45" s="9"/>
      <c r="G45" s="9"/>
      <c r="H45" s="10"/>
    </row>
    <row r="46">
      <c r="A46" s="13"/>
      <c r="B46" s="14"/>
      <c r="C46" s="14"/>
      <c r="D46" s="14"/>
      <c r="E46" s="14"/>
      <c r="F46" s="14"/>
      <c r="G46" s="14"/>
      <c r="H46" s="15"/>
    </row>
    <row r="47">
      <c r="G47" s="33"/>
      <c r="H47" s="33"/>
    </row>
    <row r="48" ht="14.25" customHeight="1">
      <c r="G48" s="34" t="s">
        <v>130</v>
      </c>
      <c r="H48" s="35" t="s">
        <v>131</v>
      </c>
    </row>
    <row r="49">
      <c r="G49" s="37">
        <f t="shared" ref="G49:G52" si="1">(F49-E49)/E49</f>
        <v>-1</v>
      </c>
      <c r="H49" s="32"/>
    </row>
    <row r="50">
      <c r="G50" s="37">
        <f t="shared" si="1"/>
        <v>2.945231433</v>
      </c>
      <c r="H50" s="32"/>
    </row>
    <row r="51">
      <c r="G51" s="37">
        <f t="shared" si="1"/>
        <v>-0.8353912864</v>
      </c>
      <c r="H51" s="32"/>
    </row>
    <row r="52">
      <c r="G52" s="37">
        <f t="shared" si="1"/>
        <v>-0.4615773941</v>
      </c>
      <c r="H52" s="32"/>
    </row>
    <row r="53">
      <c r="G53" s="37">
        <f>C53</f>
        <v>1.78394375</v>
      </c>
      <c r="H53" s="32"/>
    </row>
    <row r="54">
      <c r="G54" s="37">
        <f>(F54-C54)/C54</f>
        <v>1.100591189</v>
      </c>
      <c r="H54" s="32"/>
    </row>
    <row r="55">
      <c r="A55" s="31" t="s">
        <v>132</v>
      </c>
      <c r="B55" s="9"/>
      <c r="C55" s="9"/>
      <c r="D55" s="9"/>
      <c r="E55" s="9"/>
      <c r="F55" s="9"/>
      <c r="G55" s="9"/>
      <c r="H55" s="10"/>
    </row>
    <row r="56">
      <c r="A56" s="13"/>
      <c r="B56" s="14"/>
      <c r="C56" s="14"/>
      <c r="D56" s="14"/>
      <c r="E56" s="14"/>
      <c r="F56" s="14"/>
      <c r="G56" s="14"/>
      <c r="H56" s="15"/>
    </row>
    <row r="57">
      <c r="A57" s="38" t="s">
        <v>133</v>
      </c>
      <c r="B57" s="39"/>
      <c r="C57" s="39"/>
      <c r="D57" s="39"/>
      <c r="E57" s="39"/>
      <c r="F57" s="39"/>
      <c r="G57" s="39"/>
      <c r="H57" s="40"/>
    </row>
    <row r="58">
      <c r="A58" s="38" t="s">
        <v>134</v>
      </c>
      <c r="B58" s="39"/>
      <c r="C58" s="39"/>
      <c r="D58" s="39"/>
      <c r="E58" s="39"/>
      <c r="F58" s="39"/>
      <c r="G58" s="39"/>
      <c r="H58" s="40"/>
    </row>
    <row r="59">
      <c r="A59" s="38" t="s">
        <v>135</v>
      </c>
      <c r="B59" s="39"/>
      <c r="C59" s="39"/>
      <c r="D59" s="39"/>
      <c r="E59" s="39"/>
      <c r="F59" s="39"/>
      <c r="G59" s="39"/>
      <c r="H59" s="40"/>
    </row>
    <row r="60">
      <c r="A60" s="38" t="s">
        <v>136</v>
      </c>
      <c r="B60" s="39"/>
      <c r="C60" s="39"/>
      <c r="D60" s="39"/>
      <c r="E60" s="39"/>
      <c r="F60" s="39"/>
      <c r="G60" s="39"/>
      <c r="H60" s="40"/>
    </row>
    <row r="61">
      <c r="A61" s="38" t="s">
        <v>137</v>
      </c>
      <c r="B61" s="39"/>
      <c r="C61" s="39"/>
      <c r="D61" s="39"/>
      <c r="E61" s="39"/>
      <c r="F61" s="39"/>
      <c r="G61" s="39"/>
      <c r="H61" s="40"/>
    </row>
    <row r="62">
      <c r="A62" s="31" t="s">
        <v>138</v>
      </c>
      <c r="B62" s="9"/>
      <c r="C62" s="9"/>
      <c r="D62" s="9"/>
      <c r="E62" s="9"/>
      <c r="F62" s="9"/>
      <c r="G62" s="9"/>
      <c r="H62" s="10"/>
    </row>
    <row r="63">
      <c r="A63" s="13"/>
      <c r="B63" s="14"/>
      <c r="C63" s="14"/>
      <c r="D63" s="14"/>
      <c r="E63" s="14"/>
      <c r="F63" s="14"/>
      <c r="G63" s="14"/>
      <c r="H63" s="15"/>
    </row>
    <row r="64">
      <c r="A64" s="38" t="s">
        <v>139</v>
      </c>
      <c r="B64" s="39"/>
      <c r="C64" s="39"/>
      <c r="D64" s="39"/>
      <c r="E64" s="39"/>
      <c r="F64" s="39"/>
      <c r="G64" s="39"/>
      <c r="H64" s="40"/>
    </row>
    <row r="65">
      <c r="A65" s="38" t="s">
        <v>140</v>
      </c>
      <c r="B65" s="39"/>
      <c r="C65" s="39"/>
      <c r="D65" s="39"/>
      <c r="E65" s="39"/>
      <c r="F65" s="39"/>
      <c r="G65" s="39"/>
      <c r="H65" s="40"/>
    </row>
    <row r="66">
      <c r="A66" s="38" t="s">
        <v>141</v>
      </c>
      <c r="B66" s="39"/>
      <c r="C66" s="39"/>
      <c r="D66" s="39"/>
      <c r="E66" s="39"/>
      <c r="F66" s="39"/>
      <c r="G66" s="39"/>
      <c r="H66" s="40"/>
    </row>
    <row r="67">
      <c r="A67" s="38" t="s">
        <v>142</v>
      </c>
      <c r="B67" s="39"/>
      <c r="C67" s="39"/>
      <c r="D67" s="39"/>
      <c r="E67" s="39"/>
      <c r="F67" s="39"/>
      <c r="G67" s="39"/>
      <c r="H67" s="40"/>
    </row>
    <row r="68">
      <c r="A68" s="38" t="s">
        <v>143</v>
      </c>
      <c r="B68" s="39"/>
      <c r="C68" s="39"/>
      <c r="D68" s="39"/>
      <c r="E68" s="39"/>
      <c r="F68" s="39"/>
      <c r="G68" s="39"/>
      <c r="H68" s="40"/>
    </row>
    <row r="69">
      <c r="C69" s="22"/>
      <c r="D69" s="22"/>
      <c r="E69" s="22"/>
      <c r="F69" s="22"/>
      <c r="G69" s="22"/>
    </row>
    <row r="70">
      <c r="C70" s="22"/>
      <c r="D70" s="22"/>
      <c r="E70" s="22"/>
      <c r="F70" s="22"/>
      <c r="G70" s="22"/>
    </row>
    <row r="71">
      <c r="C71" s="22"/>
      <c r="D71" s="22"/>
      <c r="E71" s="22"/>
      <c r="F71" s="22"/>
      <c r="G71" s="22"/>
    </row>
    <row r="72">
      <c r="C72" s="22"/>
      <c r="D72" s="22"/>
      <c r="E72" s="22"/>
      <c r="F72" s="22"/>
      <c r="G72" s="22"/>
    </row>
    <row r="73">
      <c r="C73" s="22"/>
      <c r="D73" s="22"/>
      <c r="E73" s="22"/>
      <c r="F73" s="22"/>
      <c r="G73" s="22"/>
    </row>
    <row r="74">
      <c r="C74" s="22"/>
      <c r="D74" s="22"/>
      <c r="E74" s="22"/>
      <c r="F74" s="22"/>
      <c r="G74" s="22"/>
    </row>
    <row r="75">
      <c r="C75" s="22"/>
      <c r="D75" s="22"/>
      <c r="E75" s="22"/>
      <c r="F75" s="22"/>
      <c r="G75" s="22"/>
    </row>
    <row r="76">
      <c r="C76" s="22"/>
      <c r="D76" s="22"/>
      <c r="E76" s="22"/>
      <c r="F76" s="22"/>
      <c r="G76" s="22"/>
    </row>
    <row r="77">
      <c r="C77" s="22"/>
      <c r="D77" s="22"/>
      <c r="E77" s="22"/>
      <c r="F77" s="22"/>
      <c r="G77" s="22"/>
    </row>
    <row r="78">
      <c r="C78" s="22"/>
      <c r="D78" s="22"/>
      <c r="E78" s="22"/>
      <c r="F78" s="22"/>
      <c r="G78" s="22"/>
    </row>
    <row r="79">
      <c r="C79" s="22"/>
      <c r="D79" s="22"/>
      <c r="E79" s="22"/>
      <c r="F79" s="22"/>
      <c r="G79" s="22"/>
    </row>
    <row r="80">
      <c r="C80" s="22"/>
      <c r="D80" s="22"/>
      <c r="E80" s="22"/>
      <c r="F80" s="22"/>
      <c r="G80" s="22"/>
    </row>
    <row r="81">
      <c r="C81" s="22"/>
      <c r="D81" s="22"/>
      <c r="E81" s="22"/>
      <c r="F81" s="22"/>
      <c r="G81" s="22"/>
    </row>
    <row r="82">
      <c r="C82" s="22"/>
      <c r="D82" s="22"/>
      <c r="E82" s="22"/>
      <c r="F82" s="22"/>
      <c r="G82" s="22"/>
    </row>
    <row r="83">
      <c r="C83" s="22"/>
      <c r="D83" s="22"/>
      <c r="E83" s="22"/>
      <c r="F83" s="22"/>
      <c r="G83" s="22"/>
    </row>
    <row r="84">
      <c r="C84" s="22"/>
      <c r="D84" s="22"/>
      <c r="E84" s="22"/>
      <c r="F84" s="22"/>
      <c r="G84" s="22"/>
    </row>
    <row r="85">
      <c r="C85" s="22"/>
      <c r="D85" s="22"/>
      <c r="E85" s="22"/>
      <c r="F85" s="22"/>
      <c r="G85" s="22"/>
    </row>
    <row r="86">
      <c r="C86" s="22"/>
      <c r="D86" s="22"/>
      <c r="E86" s="22"/>
      <c r="F86" s="22"/>
      <c r="G86" s="22"/>
    </row>
    <row r="87">
      <c r="C87" s="22"/>
      <c r="D87" s="22"/>
      <c r="E87" s="22"/>
      <c r="F87" s="22"/>
      <c r="G87" s="22"/>
    </row>
    <row r="88">
      <c r="C88" s="22"/>
      <c r="D88" s="22"/>
      <c r="E88" s="22"/>
      <c r="F88" s="22"/>
      <c r="G88" s="22"/>
    </row>
    <row r="89">
      <c r="C89" s="22"/>
      <c r="D89" s="22"/>
      <c r="E89" s="22"/>
      <c r="F89" s="22"/>
      <c r="G89" s="22"/>
    </row>
    <row r="90">
      <c r="C90" s="22"/>
      <c r="D90" s="22"/>
      <c r="E90" s="22"/>
      <c r="F90" s="22"/>
      <c r="G90" s="22"/>
    </row>
    <row r="91">
      <c r="C91" s="22"/>
      <c r="D91" s="22"/>
      <c r="E91" s="22"/>
      <c r="F91" s="22"/>
      <c r="G91" s="22"/>
    </row>
    <row r="92">
      <c r="C92" s="22"/>
      <c r="D92" s="22"/>
      <c r="E92" s="22"/>
      <c r="F92" s="22"/>
      <c r="G92" s="22"/>
    </row>
    <row r="93">
      <c r="C93" s="22"/>
      <c r="D93" s="22"/>
      <c r="E93" s="22"/>
      <c r="F93" s="22"/>
      <c r="G93" s="22"/>
    </row>
    <row r="94">
      <c r="C94" s="22"/>
      <c r="D94" s="22"/>
      <c r="E94" s="22"/>
      <c r="F94" s="22"/>
      <c r="G94" s="22"/>
    </row>
    <row r="95">
      <c r="C95" s="22"/>
      <c r="D95" s="22"/>
      <c r="E95" s="22"/>
      <c r="F95" s="22"/>
      <c r="G95" s="22"/>
    </row>
    <row r="96">
      <c r="C96" s="22"/>
      <c r="D96" s="22"/>
      <c r="E96" s="22"/>
      <c r="F96" s="22"/>
      <c r="G96" s="22"/>
    </row>
    <row r="97">
      <c r="C97" s="22"/>
      <c r="D97" s="22"/>
      <c r="E97" s="22"/>
      <c r="F97" s="22"/>
      <c r="G97" s="22"/>
    </row>
    <row r="98">
      <c r="C98" s="22"/>
      <c r="D98" s="22"/>
      <c r="E98" s="22"/>
      <c r="F98" s="22"/>
      <c r="G98" s="22"/>
    </row>
    <row r="99">
      <c r="C99" s="22"/>
      <c r="D99" s="22"/>
      <c r="E99" s="22"/>
      <c r="F99" s="22"/>
      <c r="G99" s="22"/>
    </row>
    <row r="100">
      <c r="C100" s="22"/>
      <c r="D100" s="22"/>
      <c r="E100" s="22"/>
      <c r="F100" s="22"/>
      <c r="G100" s="22"/>
    </row>
    <row r="101">
      <c r="C101" s="22"/>
      <c r="D101" s="22"/>
      <c r="E101" s="22"/>
      <c r="F101" s="22"/>
      <c r="G101" s="22"/>
    </row>
    <row r="102">
      <c r="C102" s="22"/>
      <c r="D102" s="22"/>
      <c r="E102" s="22"/>
      <c r="F102" s="22"/>
      <c r="G102" s="22"/>
    </row>
    <row r="103">
      <c r="C103" s="22"/>
      <c r="D103" s="22"/>
      <c r="E103" s="22"/>
      <c r="F103" s="22"/>
      <c r="G103" s="22"/>
    </row>
    <row r="104">
      <c r="C104" s="22"/>
      <c r="D104" s="22"/>
      <c r="E104" s="22"/>
      <c r="F104" s="22"/>
      <c r="G104" s="22"/>
    </row>
    <row r="105">
      <c r="C105" s="22"/>
      <c r="D105" s="22"/>
      <c r="E105" s="22"/>
      <c r="F105" s="22"/>
      <c r="G105" s="22"/>
    </row>
    <row r="106">
      <c r="C106" s="22"/>
      <c r="D106" s="22"/>
      <c r="E106" s="22"/>
      <c r="F106" s="22"/>
      <c r="G106" s="22"/>
    </row>
    <row r="107">
      <c r="C107" s="22"/>
      <c r="D107" s="22"/>
      <c r="E107" s="22"/>
      <c r="F107" s="22"/>
      <c r="G107" s="22"/>
    </row>
    <row r="108">
      <c r="C108" s="22"/>
      <c r="D108" s="22"/>
      <c r="E108" s="22"/>
      <c r="F108" s="22"/>
      <c r="G108" s="22"/>
    </row>
    <row r="109">
      <c r="C109" s="22"/>
      <c r="D109" s="22"/>
      <c r="E109" s="22"/>
      <c r="F109" s="22"/>
      <c r="G109" s="22"/>
    </row>
    <row r="110">
      <c r="C110" s="22"/>
      <c r="D110" s="22"/>
      <c r="E110" s="22"/>
      <c r="F110" s="22"/>
      <c r="G110" s="22"/>
    </row>
    <row r="111">
      <c r="C111" s="22"/>
      <c r="D111" s="22"/>
      <c r="E111" s="22"/>
      <c r="F111" s="22"/>
      <c r="G111" s="22"/>
    </row>
    <row r="112">
      <c r="C112" s="22"/>
      <c r="D112" s="22"/>
      <c r="E112" s="22"/>
      <c r="F112" s="22"/>
      <c r="G112" s="22"/>
    </row>
    <row r="113">
      <c r="C113" s="22"/>
      <c r="D113" s="22"/>
      <c r="E113" s="22"/>
      <c r="F113" s="22"/>
      <c r="G113" s="22"/>
    </row>
    <row r="114">
      <c r="C114" s="22"/>
      <c r="D114" s="22"/>
      <c r="E114" s="22"/>
      <c r="F114" s="22"/>
      <c r="G114" s="22"/>
    </row>
    <row r="115">
      <c r="C115" s="22"/>
      <c r="D115" s="22"/>
      <c r="E115" s="22"/>
      <c r="F115" s="22"/>
      <c r="G115" s="22"/>
    </row>
    <row r="116">
      <c r="C116" s="22"/>
      <c r="D116" s="22"/>
      <c r="E116" s="22"/>
      <c r="F116" s="22"/>
      <c r="G116" s="22"/>
    </row>
    <row r="117">
      <c r="C117" s="22"/>
      <c r="D117" s="22"/>
      <c r="E117" s="22"/>
      <c r="F117" s="22"/>
      <c r="G117" s="22"/>
    </row>
    <row r="118">
      <c r="C118" s="22"/>
      <c r="D118" s="22"/>
      <c r="E118" s="22"/>
      <c r="F118" s="22"/>
      <c r="G118" s="22"/>
    </row>
    <row r="119">
      <c r="C119" s="22"/>
      <c r="D119" s="22"/>
      <c r="E119" s="22"/>
      <c r="F119" s="22"/>
      <c r="G119" s="22"/>
    </row>
    <row r="120">
      <c r="C120" s="22"/>
      <c r="D120" s="22"/>
      <c r="E120" s="22"/>
      <c r="F120" s="22"/>
      <c r="G120" s="22"/>
    </row>
    <row r="121">
      <c r="C121" s="22"/>
      <c r="D121" s="22"/>
      <c r="E121" s="22"/>
      <c r="F121" s="22"/>
      <c r="G121" s="22"/>
    </row>
    <row r="122">
      <c r="C122" s="22"/>
      <c r="D122" s="22"/>
      <c r="E122" s="22"/>
      <c r="F122" s="22"/>
      <c r="G122" s="22"/>
    </row>
  </sheetData>
  <mergeCells count="17">
    <mergeCell ref="A1:H2"/>
    <mergeCell ref="A3:H7"/>
    <mergeCell ref="A8:H26"/>
    <mergeCell ref="A27:H44"/>
    <mergeCell ref="A45:H46"/>
    <mergeCell ref="A55:H56"/>
    <mergeCell ref="A57:H57"/>
    <mergeCell ref="A66:H66"/>
    <mergeCell ref="A67:H67"/>
    <mergeCell ref="A68:H68"/>
    <mergeCell ref="A58:H58"/>
    <mergeCell ref="A59:H59"/>
    <mergeCell ref="A60:H60"/>
    <mergeCell ref="A61:H61"/>
    <mergeCell ref="A62:H63"/>
    <mergeCell ref="A64:H64"/>
    <mergeCell ref="A65:H65"/>
  </mergeCells>
  <drawing r:id="rId6"/>
  <extLst>
    <ext uri="{05C60535-1F16-4fd2-B633-F4F36F0B64E0}">
      <x14:sparklineGroups>
        <x14:sparklineGroup displayEmptyCellsAs="gap">
          <x14:colorSeries rgb="FF000000"/>
          <x14:sparklines>
            <x14:sparkline>
              <xm:f>Dashboard!C49:G49</xm:f>
              <xm:sqref>H49</xm:sqref>
            </x14:sparkline>
          </x14:sparklines>
        </x14:sparklineGroup>
        <x14:sparklineGroup displayEmptyCellsAs="gap">
          <x14:colorSeries rgb="FF000000"/>
          <x14:sparklines>
            <x14:sparkline>
              <xm:f>Dashboard!C50:G50</xm:f>
              <xm:sqref>H50</xm:sqref>
            </x14:sparkline>
          </x14:sparklines>
        </x14:sparklineGroup>
        <x14:sparklineGroup displayEmptyCellsAs="gap">
          <x14:colorSeries rgb="FF000000"/>
          <x14:sparklines>
            <x14:sparkline>
              <xm:f>Dashboard!C51:G51</xm:f>
              <xm:sqref>H51</xm:sqref>
            </x14:sparkline>
          </x14:sparklines>
        </x14:sparklineGroup>
        <x14:sparklineGroup displayEmptyCellsAs="gap">
          <x14:colorSeries rgb="FF000000"/>
          <x14:sparklines>
            <x14:sparkline>
              <xm:f>Dashboard!C52:G52</xm:f>
              <xm:sqref>H52</xm:sqref>
            </x14:sparkline>
          </x14:sparklines>
        </x14:sparklineGroup>
        <x14:sparklineGroup displayEmptyCellsAs="gap">
          <x14:colorSeries rgb="FF000000"/>
          <x14:sparklines>
            <x14:sparkline>
              <xm:f>Dashboard!C53:G53</xm:f>
              <xm:sqref>H53</xm:sqref>
            </x14:sparkline>
          </x14:sparklines>
        </x14:sparklineGroup>
        <x14:sparklineGroup displayEmptyCellsAs="gap">
          <x14:colorSeries rgb="FF000000"/>
          <x14:sparklines>
            <x14:sparkline>
              <xm:f>Dashboard!C54:G54</xm:f>
              <xm:sqref>H54</xm:sqref>
            </x14:sparkline>
          </x14:sparklines>
        </x14:sparklineGroup>
      </x14:sparklineGroups>
    </ext>
    <ext uri="{3A4CF648-6AED-40f4-86FF-DC5316D8AED3}">
      <x14:slicerList>
        <x14:slicer r:id="rId7"/>
      </x14:slicerList>
    </ext>
  </extLst>
</worksheet>
</file>